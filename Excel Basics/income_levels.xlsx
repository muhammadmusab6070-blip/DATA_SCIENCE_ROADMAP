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ml.chartshapes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7590" tabRatio="500" activeTab="3"/>
  </bookViews>
  <sheets>
    <sheet name="Juganda" sheetId="1" r:id="rId1"/>
    <sheet name="Krance" sheetId="2" r:id="rId2"/>
    <sheet name="Sheet1" sheetId="4" r:id="rId3"/>
    <sheet name="Rajajinagar" sheetId="3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<sst xmlns="http://schemas.openxmlformats.org/spreadsheetml/2006/main" count="38" uniqueCount="30">
  <si>
    <t>Juganda Income Levels (In thousands $ )</t>
  </si>
  <si>
    <t>name</t>
  </si>
  <si>
    <t>yearly income</t>
  </si>
  <si>
    <t>income - mean</t>
  </si>
  <si>
    <t>nishith</t>
  </si>
  <si>
    <t>veeral</t>
  </si>
  <si>
    <t>angelina</t>
  </si>
  <si>
    <t>salma</t>
  </si>
  <si>
    <t>nitin</t>
  </si>
  <si>
    <t>dhaval</t>
  </si>
  <si>
    <t>venkat</t>
  </si>
  <si>
    <t>priya</t>
  </si>
  <si>
    <t>Mean</t>
  </si>
  <si>
    <t>Total</t>
  </si>
  <si>
    <t>Count</t>
  </si>
  <si>
    <t>Variance</t>
  </si>
  <si>
    <t>Std Dev</t>
  </si>
  <si>
    <t>Krance Income Levels (In thousands $ )</t>
  </si>
  <si>
    <t>mohan</t>
  </si>
  <si>
    <t>rita</t>
  </si>
  <si>
    <t>bhavin</t>
  </si>
  <si>
    <t>michael</t>
  </si>
  <si>
    <t>abdul</t>
  </si>
  <si>
    <t>kiran</t>
  </si>
  <si>
    <t>ahmed</t>
  </si>
  <si>
    <t>gayatri</t>
  </si>
  <si>
    <t>Property Prices in Rajajinagar, Banglore</t>
  </si>
  <si>
    <t>Square Ft</t>
  </si>
  <si>
    <t>Price (INR Cr)</t>
  </si>
  <si>
    <t xml:space="preserve">Correlation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</si>
</sst>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5">
    <font>
      <sz val="11"/>
      <color theme="1"/>
      <name val="Calibri"/>
      <charset val="1"/>
    </font>
    <font>
      <b/>
      <sz val="14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D966"/>
        <bgColor rgb="FFF4B183"/>
      </patternFill>
    </fill>
    <fill>
      <patternFill patternType="solid">
        <fgColor rgb="FFC6E0B4"/>
        <bgColor rgb="FFA9C4A0"/>
      </patternFill>
    </fill>
    <fill>
      <patternFill patternType="solid">
        <fgColor rgb="FFA9C4A0"/>
        <bgColor rgb="FFC6E0B4"/>
      </patternFill>
    </fill>
    <fill>
      <patternFill patternType="solid">
        <fgColor rgb="FFFFFF00"/>
        <bgColor rgb="FFFFFF00"/>
      </patternFill>
    </fill>
    <fill>
      <patternFill patternType="solid">
        <fgColor rgb="FFF4B183"/>
        <bgColor rgb="FFD9B26F"/>
      </patternFill>
    </fill>
    <fill>
      <patternFill patternType="solid">
        <fgColor rgb="FFD9B26F"/>
        <bgColor rgb="FFF4B18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Border="0" applyAlignment="0" applyProtection="0"/>
    <xf numFmtId="44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42" fontId="4" fillId="0" borderId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8" borderId="10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13" applyNumberFormat="0" applyAlignment="0" applyProtection="0">
      <alignment vertical="center"/>
    </xf>
    <xf numFmtId="0" fontId="15" fillId="10" borderId="14" applyNumberFormat="0" applyAlignment="0" applyProtection="0">
      <alignment vertical="center"/>
    </xf>
    <xf numFmtId="0" fontId="16" fillId="10" borderId="13" applyNumberFormat="0" applyAlignment="0" applyProtection="0">
      <alignment vertical="center"/>
    </xf>
    <xf numFmtId="0" fontId="17" fillId="11" borderId="15" applyNumberFormat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0" xfId="0" applyFont="1" applyBorder="1" applyAlignment="1">
      <alignment horizontal="center"/>
    </xf>
    <xf numFmtId="0" fontId="2" fillId="2" borderId="0" xfId="0" applyFont="1" applyFill="1"/>
    <xf numFmtId="0" fontId="3" fillId="0" borderId="0" xfId="0" applyFont="1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/>
    <xf numFmtId="0" fontId="2" fillId="3" borderId="0" xfId="0" applyFont="1" applyFill="1" applyBorder="1" applyAlignment="1">
      <alignment horizontal="center"/>
    </xf>
    <xf numFmtId="0" fontId="2" fillId="4" borderId="0" xfId="0" applyFont="1" applyFill="1" applyAlignment="1"/>
    <xf numFmtId="0" fontId="3" fillId="0" borderId="0" xfId="0" applyFont="1" applyAlignment="1"/>
    <xf numFmtId="0" fontId="2" fillId="5" borderId="0" xfId="0" applyFont="1" applyFill="1" applyAlignment="1"/>
    <xf numFmtId="0" fontId="3" fillId="5" borderId="0" xfId="0" applyFont="1" applyFill="1" applyAlignment="1"/>
    <xf numFmtId="0" fontId="0" fillId="5" borderId="0" xfId="0" applyFill="1" applyAlignment="1"/>
    <xf numFmtId="0" fontId="2" fillId="6" borderId="0" xfId="0" applyFont="1" applyFill="1" applyBorder="1" applyAlignment="1">
      <alignment horizontal="center"/>
    </xf>
    <xf numFmtId="0" fontId="2" fillId="7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9C4A0"/>
      <rgbColor rgb="00808080"/>
      <rgbColor rgb="009999FF"/>
      <rgbColor rgb="00993366"/>
      <rgbColor rgb="00FFFFCC"/>
      <rgbColor rgb="00CCFFFF"/>
      <rgbColor rgb="00660066"/>
      <rgbColor rgb="00D9B26F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6E0B4"/>
      <rgbColor rgb="00FFFF99"/>
      <rgbColor rgb="0099CCFF"/>
      <rgbColor rgb="00F4B183"/>
      <rgbColor rgb="00CC99FF"/>
      <rgbColor rgb="00FFD966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microsoft.com/office/2011/relationships/chartColorStyle" Target="colors2.xml"/><Relationship Id="rId2" Type="http://schemas.microsoft.com/office/2011/relationships/chartStyle" Target="style2.xml"/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[income_levels.xlsx]Sheet1!PivotTable1</c:name>
    <c:fmtId val="0"/>
  </c:pivotSource>
  <c:chart>
    <c:autoTitleDeleted val="1"/>
    <c:plotArea>
      <c:layout/>
      <c:barChart>
        <c:barDir val="col"/>
        <c:grouping val="clustered"/>
        <c:varyColors val="0"/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261772988"/>
        <c:axId val="455991692"/>
      </c:barChart>
      <c:catAx>
        <c:axId val="2617729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5991692"/>
        <c:crosses val="autoZero"/>
        <c:auto val="1"/>
        <c:lblAlgn val="ctr"/>
        <c:lblOffset val="100"/>
        <c:noMultiLvlLbl val="0"/>
      </c:catAx>
      <c:valAx>
        <c:axId val="4559916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17729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898276088959074"/>
          <c:y val="0.285980004650081"/>
          <c:w val="0.898065534938808"/>
          <c:h val="0.603906068356196"/>
        </c:manualLayout>
      </c:layout>
      <c:scatterChart>
        <c:scatterStyle val="marker"/>
        <c:varyColors val="0"/>
        <c:ser>
          <c:idx val="0"/>
          <c:order val="0"/>
          <c:tx>
            <c:strRef>
              <c:f>Rajajinagar!$B$2</c:f>
              <c:strCache>
                <c:ptCount val="1"/>
                <c:pt idx="0">
                  <c:v>Price (INR Cr)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Rajajinagar!$A$3:$A$7</c:f>
              <c:numCache>
                <c:formatCode>General</c:formatCode>
                <c:ptCount val="5"/>
                <c:pt idx="0">
                  <c:v>1760</c:v>
                </c:pt>
                <c:pt idx="1">
                  <c:v>1943</c:v>
                </c:pt>
                <c:pt idx="2">
                  <c:v>1914</c:v>
                </c:pt>
                <c:pt idx="3">
                  <c:v>1618</c:v>
                </c:pt>
                <c:pt idx="4">
                  <c:v>1369</c:v>
                </c:pt>
              </c:numCache>
            </c:numRef>
          </c:xVal>
          <c:yVal>
            <c:numRef>
              <c:f>Rajajinagar!$B$3:$B$7</c:f>
              <c:numCache>
                <c:formatCode>General</c:formatCode>
                <c:ptCount val="5"/>
                <c:pt idx="0">
                  <c:v>2.64</c:v>
                </c:pt>
                <c:pt idx="1">
                  <c:v>2.98</c:v>
                </c:pt>
                <c:pt idx="2">
                  <c:v>3.13</c:v>
                </c:pt>
                <c:pt idx="3">
                  <c:v>1.76</c:v>
                </c:pt>
                <c:pt idx="4">
                  <c:v>1.99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442993"/>
        <c:axId val="928440204"/>
      </c:scatterChart>
      <c:valAx>
        <c:axId val="29244299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8440204"/>
        <c:crosses val="autoZero"/>
        <c:crossBetween val="midCat"/>
      </c:valAx>
      <c:valAx>
        <c:axId val="9284402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2442993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pattFill prst="pct5">
      <a:fgClr>
        <a:schemeClr val="accent1"/>
      </a:fgClr>
      <a:bgClr>
        <a:schemeClr val="bg1"/>
      </a:bgClr>
    </a:patt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520700</xdr:colOff>
      <xdr:row>4</xdr:row>
      <xdr:rowOff>63500</xdr:rowOff>
    </xdr:from>
    <xdr:to>
      <xdr:col>13</xdr:col>
      <xdr:colOff>469900</xdr:colOff>
      <xdr:row>19</xdr:row>
      <xdr:rowOff>44450</xdr:rowOff>
    </xdr:to>
    <xdr:graphicFrame>
      <xdr:nvGraphicFramePr>
        <xdr:cNvPr id="2" name="Chart 1"/>
        <xdr:cNvGraphicFramePr/>
      </xdr:nvGraphicFramePr>
      <xdr:xfrm>
        <a:off x="3568700" y="8001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333375</xdr:colOff>
      <xdr:row>6</xdr:row>
      <xdr:rowOff>162560</xdr:rowOff>
    </xdr:from>
    <xdr:to>
      <xdr:col>13</xdr:col>
      <xdr:colOff>304165</xdr:colOff>
      <xdr:row>21</xdr:row>
      <xdr:rowOff>143510</xdr:rowOff>
    </xdr:to>
    <xdr:graphicFrame>
      <xdr:nvGraphicFramePr>
        <xdr:cNvPr id="2" name="Chart 1"/>
        <xdr:cNvGraphicFramePr/>
      </xdr:nvGraphicFramePr>
      <xdr:xfrm>
        <a:off x="7298690" y="1311910"/>
        <a:ext cx="482219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0.0670450046192424</cdr:x>
      <cdr:y>0.395025102692834</cdr:y>
    </cdr:from>
    <cdr:to>
      <cdr:x>0.973868285601161</cdr:x>
      <cdr:y>0.894340483797353</cdr:y>
    </cdr:to>
    <cdr:cxnSp>
      <cdr:nvCxnSpPr>
        <cdr:cNvPr id="2" name="Straight Connector 1"/>
        <cdr:cNvCxnSpPr/>
      </cdr:nvCxnSpPr>
      <cdr:spPr xmlns:a="http://schemas.openxmlformats.org/drawingml/2006/main">
        <a:xfrm xmlns:a="http://schemas.openxmlformats.org/drawingml/2006/main" flipV="1">
          <a:off x="322580" y="1099185"/>
          <a:ext cx="4363085" cy="1389380"/>
        </a:xfrm>
        <a:prstGeom xmlns:a="http://schemas.openxmlformats.org/drawingml/2006/main" prst="line">
          <a:avLst/>
        </a:prstGeom>
        <a:ln w="31750" cap="rnd">
          <a:solidFill>
            <a:prstClr val="black"/>
          </a:solidFill>
          <a:round/>
        </a:ln>
      </cdr:spPr>
      <cdr:style>
        <a:lnRef xmlns:a="http://schemas.openxmlformats.org/drawingml/2006/main" idx="0">
          <a:srgbClr val="FFFFFF"/>
        </a:lnRef>
        <a:fillRef xmlns:a="http://schemas.openxmlformats.org/drawingml/2006/main" idx="0">
          <a:srgbClr val="FFFFFF"/>
        </a:fillRef>
        <a:effectRef xmlns:a="http://schemas.openxmlformats.org/drawingml/2006/main" idx="0">
          <a:srgbClr val="FFFFFF"/>
        </a:effectRef>
        <a:fontRef xmlns:a="http://schemas.openxmlformats.org/drawingml/2006/main" idx="minor">
          <a:schemeClr val="tx1"/>
        </a:fontRef>
      </cdr:style>
    </cdr:cxn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65.7868171296" refreshedBy="Musab Butt" recordCount="5">
  <cacheSource type="worksheet">
    <worksheetSource ref="A2:B7" sheet="Rajajinagar"/>
  </cacheSource>
  <cacheFields count="2">
    <cacheField name="Square Ft" numFmtId="0">
      <sharedItems containsSemiMixedTypes="0" containsString="0" containsNumber="1" containsInteger="1" minValue="1369" maxValue="1943" count="5">
        <n v="1760"/>
        <n v="1943"/>
        <n v="1914"/>
        <n v="1618"/>
        <n v="1369"/>
      </sharedItems>
    </cacheField>
    <cacheField name="Price (INR Cr)" numFmtId="0">
      <sharedItems containsSemiMixedTypes="0" containsString="0" containsNumber="1" minValue="1.76" maxValue="3.13" count="5">
        <n v="2.64"/>
        <n v="2.98"/>
        <n v="3.13"/>
        <n v="1.76"/>
        <n v="1.99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">
  <r>
    <x v="0"/>
    <x v="0"/>
  </r>
  <r>
    <x v="1"/>
    <x v="1"/>
  </r>
  <r>
    <x v="2"/>
    <x v="2"/>
  </r>
  <r>
    <x v="3"/>
    <x v="3"/>
  </r>
  <r>
    <x v="4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C20" firstHeaderRow="1" firstDataRow="1" firstDataCol="0"/>
  <pivotFields count="2">
    <pivotField compact="0" showAll="0"/>
    <pivotField compact="0" showAll="0"/>
  </pivot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workbookViewId="0">
      <selection activeCell="A1" sqref="A1:D1"/>
    </sheetView>
  </sheetViews>
  <sheetFormatPr defaultColWidth="8.68181818181818" defaultRowHeight="14.5" outlineLevelCol="3"/>
  <cols>
    <col min="1" max="1" width="12" style="13" customWidth="1"/>
    <col min="2" max="3" width="15" style="13" customWidth="1"/>
    <col min="4" max="4" width="10" style="13" customWidth="1"/>
  </cols>
  <sheetData>
    <row r="1" ht="15" customHeight="1" spans="1:4">
      <c r="A1" s="20" t="s">
        <v>0</v>
      </c>
      <c r="B1" s="20"/>
      <c r="C1" s="20"/>
      <c r="D1" s="20"/>
    </row>
    <row r="2" ht="15" customHeight="1" spans="1:4">
      <c r="A2" s="21" t="s">
        <v>1</v>
      </c>
      <c r="B2" s="21" t="s">
        <v>2</v>
      </c>
      <c r="C2" s="21" t="s">
        <v>3</v>
      </c>
      <c r="D2" s="16"/>
    </row>
    <row r="3" ht="15" customHeight="1" spans="1:4">
      <c r="A3" s="16" t="s">
        <v>4</v>
      </c>
      <c r="B3" s="16">
        <v>71</v>
      </c>
      <c r="C3" s="16">
        <f t="shared" ref="C3:C10" si="0">B3-$B$12</f>
        <v>9</v>
      </c>
      <c r="D3" s="16">
        <f t="shared" ref="D3:D10" si="1">C3^2</f>
        <v>81</v>
      </c>
    </row>
    <row r="4" ht="15" customHeight="1" spans="1:4">
      <c r="A4" s="16" t="s">
        <v>5</v>
      </c>
      <c r="B4" s="16">
        <v>62</v>
      </c>
      <c r="C4" s="16">
        <f t="shared" si="0"/>
        <v>0</v>
      </c>
      <c r="D4" s="16">
        <f t="shared" si="1"/>
        <v>0</v>
      </c>
    </row>
    <row r="5" ht="15" customHeight="1" spans="1:4">
      <c r="A5" s="16" t="s">
        <v>6</v>
      </c>
      <c r="B5" s="16">
        <v>66</v>
      </c>
      <c r="C5" s="16">
        <f t="shared" si="0"/>
        <v>4</v>
      </c>
      <c r="D5" s="16">
        <f t="shared" si="1"/>
        <v>16</v>
      </c>
    </row>
    <row r="6" ht="15" customHeight="1" spans="1:4">
      <c r="A6" s="16" t="s">
        <v>7</v>
      </c>
      <c r="B6" s="16">
        <v>61</v>
      </c>
      <c r="C6" s="16">
        <f t="shared" si="0"/>
        <v>-1</v>
      </c>
      <c r="D6" s="16">
        <f t="shared" si="1"/>
        <v>1</v>
      </c>
    </row>
    <row r="7" ht="15" customHeight="1" spans="1:4">
      <c r="A7" s="16" t="s">
        <v>8</v>
      </c>
      <c r="B7" s="16">
        <v>54</v>
      </c>
      <c r="C7" s="16">
        <f t="shared" si="0"/>
        <v>-8</v>
      </c>
      <c r="D7" s="16">
        <f t="shared" si="1"/>
        <v>64</v>
      </c>
    </row>
    <row r="8" ht="15" customHeight="1" spans="1:4">
      <c r="A8" s="16" t="s">
        <v>9</v>
      </c>
      <c r="B8" s="16">
        <v>67</v>
      </c>
      <c r="C8" s="16">
        <f t="shared" si="0"/>
        <v>5</v>
      </c>
      <c r="D8" s="16">
        <f t="shared" si="1"/>
        <v>25</v>
      </c>
    </row>
    <row r="9" ht="15" customHeight="1" spans="1:4">
      <c r="A9" s="16" t="s">
        <v>10</v>
      </c>
      <c r="B9" s="16">
        <v>55</v>
      </c>
      <c r="C9" s="16">
        <f t="shared" si="0"/>
        <v>-7</v>
      </c>
      <c r="D9" s="16">
        <f t="shared" si="1"/>
        <v>49</v>
      </c>
    </row>
    <row r="10" ht="15" customHeight="1" spans="1:4">
      <c r="A10" s="16" t="s">
        <v>11</v>
      </c>
      <c r="B10" s="16">
        <v>60</v>
      </c>
      <c r="C10" s="16">
        <f t="shared" si="0"/>
        <v>-2</v>
      </c>
      <c r="D10" s="16">
        <f t="shared" si="1"/>
        <v>4</v>
      </c>
    </row>
    <row r="11" ht="15" customHeight="1" spans="1:4">
      <c r="A11" s="16"/>
      <c r="B11" s="16"/>
      <c r="C11" s="16"/>
      <c r="D11" s="16"/>
    </row>
    <row r="12" ht="15" customHeight="1" spans="1:4">
      <c r="A12" s="16" t="s">
        <v>12</v>
      </c>
      <c r="B12" s="16">
        <f>AVERAGE(B3:B10)</f>
        <v>62</v>
      </c>
      <c r="C12" s="16"/>
      <c r="D12" s="16"/>
    </row>
    <row r="13" ht="15" customHeight="1" spans="1:4">
      <c r="A13" s="16"/>
      <c r="B13" s="16"/>
      <c r="C13" s="16" t="s">
        <v>13</v>
      </c>
      <c r="D13" s="16">
        <f>SUM(D3:D10)</f>
        <v>240</v>
      </c>
    </row>
    <row r="14" ht="15" customHeight="1" spans="1:4">
      <c r="A14" s="16"/>
      <c r="B14" s="16"/>
      <c r="C14" s="16" t="s">
        <v>14</v>
      </c>
      <c r="D14" s="16">
        <f>COUNT(B3:B10)</f>
        <v>8</v>
      </c>
    </row>
    <row r="15" ht="15" customHeight="1" spans="1:4">
      <c r="A15" s="16"/>
      <c r="B15" s="16"/>
      <c r="C15" s="17" t="s">
        <v>15</v>
      </c>
      <c r="D15" s="18">
        <f>D13/D14</f>
        <v>30</v>
      </c>
    </row>
    <row r="16" ht="15" customHeight="1" spans="1:4">
      <c r="C16" s="17" t="s">
        <v>16</v>
      </c>
      <c r="D16" s="19">
        <f>SQRT(D15)</f>
        <v>5.47722557505166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workbookViewId="0">
      <selection activeCell="A1" sqref="A1:D1"/>
    </sheetView>
  </sheetViews>
  <sheetFormatPr defaultColWidth="8.68181818181818" defaultRowHeight="14.5" outlineLevelCol="3"/>
  <cols>
    <col min="1" max="1" width="12" style="13" customWidth="1"/>
    <col min="2" max="3" width="15" style="13" customWidth="1"/>
    <col min="4" max="4" width="10" style="13" customWidth="1"/>
  </cols>
  <sheetData>
    <row r="1" ht="15" customHeight="1" spans="1:4">
      <c r="A1" s="14" t="s">
        <v>17</v>
      </c>
      <c r="B1" s="14"/>
      <c r="C1" s="14"/>
      <c r="D1" s="14"/>
    </row>
    <row r="2" ht="15" customHeight="1" spans="1:4">
      <c r="A2" s="15" t="s">
        <v>1</v>
      </c>
      <c r="B2" s="15" t="s">
        <v>2</v>
      </c>
      <c r="C2" s="15" t="s">
        <v>3</v>
      </c>
      <c r="D2" s="16"/>
    </row>
    <row r="3" ht="15" customHeight="1" spans="1:4">
      <c r="A3" s="16" t="s">
        <v>18</v>
      </c>
      <c r="B3" s="16">
        <v>99</v>
      </c>
      <c r="C3" s="16">
        <f t="shared" ref="C3:C10" si="0">B3-$B$12</f>
        <v>37</v>
      </c>
      <c r="D3" s="16">
        <f t="shared" ref="D3:D10" si="1">C3^2</f>
        <v>1369</v>
      </c>
    </row>
    <row r="4" ht="15" customHeight="1" spans="1:4">
      <c r="A4" s="16" t="s">
        <v>19</v>
      </c>
      <c r="B4" s="16">
        <v>14</v>
      </c>
      <c r="C4" s="16">
        <f t="shared" si="0"/>
        <v>-48</v>
      </c>
      <c r="D4" s="16">
        <f t="shared" si="1"/>
        <v>2304</v>
      </c>
    </row>
    <row r="5" ht="15" customHeight="1" spans="1:4">
      <c r="A5" s="16" t="s">
        <v>20</v>
      </c>
      <c r="B5" s="16">
        <v>75</v>
      </c>
      <c r="C5" s="16">
        <f t="shared" si="0"/>
        <v>13</v>
      </c>
      <c r="D5" s="16">
        <f t="shared" si="1"/>
        <v>169</v>
      </c>
    </row>
    <row r="6" ht="15" customHeight="1" spans="1:4">
      <c r="A6" s="16" t="s">
        <v>21</v>
      </c>
      <c r="B6" s="16">
        <v>84</v>
      </c>
      <c r="C6" s="16">
        <f t="shared" si="0"/>
        <v>22</v>
      </c>
      <c r="D6" s="16">
        <f t="shared" si="1"/>
        <v>484</v>
      </c>
    </row>
    <row r="7" ht="15" customHeight="1" spans="1:4">
      <c r="A7" s="16" t="s">
        <v>22</v>
      </c>
      <c r="B7" s="16">
        <v>44</v>
      </c>
      <c r="C7" s="16">
        <f t="shared" si="0"/>
        <v>-18</v>
      </c>
      <c r="D7" s="16">
        <f t="shared" si="1"/>
        <v>324</v>
      </c>
    </row>
    <row r="8" ht="15" customHeight="1" spans="1:4">
      <c r="A8" s="16" t="s">
        <v>23</v>
      </c>
      <c r="B8" s="16">
        <v>54</v>
      </c>
      <c r="C8" s="16">
        <f t="shared" si="0"/>
        <v>-8</v>
      </c>
      <c r="D8" s="16">
        <f t="shared" si="1"/>
        <v>64</v>
      </c>
    </row>
    <row r="9" ht="15" customHeight="1" spans="1:4">
      <c r="A9" s="16" t="s">
        <v>24</v>
      </c>
      <c r="B9" s="16">
        <v>98</v>
      </c>
      <c r="C9" s="16">
        <f t="shared" si="0"/>
        <v>36</v>
      </c>
      <c r="D9" s="16">
        <f t="shared" si="1"/>
        <v>1296</v>
      </c>
    </row>
    <row r="10" ht="15" customHeight="1" spans="1:4">
      <c r="A10" s="16" t="s">
        <v>25</v>
      </c>
      <c r="B10" s="16">
        <v>28</v>
      </c>
      <c r="C10" s="16">
        <f t="shared" si="0"/>
        <v>-34</v>
      </c>
      <c r="D10" s="16">
        <f t="shared" si="1"/>
        <v>1156</v>
      </c>
    </row>
    <row r="11" ht="15" customHeight="1" spans="1:4">
      <c r="A11" s="16"/>
      <c r="B11" s="16"/>
      <c r="C11" s="16"/>
      <c r="D11" s="16"/>
    </row>
    <row r="12" ht="15" customHeight="1" spans="1:4">
      <c r="A12" s="16" t="s">
        <v>12</v>
      </c>
      <c r="B12" s="16">
        <f>AVERAGE(B3:B10)</f>
        <v>62</v>
      </c>
      <c r="C12" s="16"/>
      <c r="D12" s="16"/>
    </row>
    <row r="13" ht="15" customHeight="1" spans="1:4">
      <c r="A13" s="16"/>
      <c r="B13" s="16"/>
      <c r="C13" s="16" t="s">
        <v>13</v>
      </c>
      <c r="D13" s="16">
        <f>SUM(D3:D10)</f>
        <v>7166</v>
      </c>
    </row>
    <row r="14" ht="15" customHeight="1" spans="1:4">
      <c r="A14" s="16"/>
      <c r="B14" s="16"/>
      <c r="C14" s="16" t="s">
        <v>14</v>
      </c>
      <c r="D14" s="16">
        <f>COUNT(B3:B10)</f>
        <v>8</v>
      </c>
    </row>
    <row r="15" ht="15" customHeight="1" spans="1:4">
      <c r="A15" s="16"/>
      <c r="B15" s="16"/>
      <c r="C15" s="17" t="s">
        <v>15</v>
      </c>
      <c r="D15" s="18">
        <f>D13/D14</f>
        <v>895.75</v>
      </c>
    </row>
    <row r="16" ht="15" customHeight="1" spans="1:4">
      <c r="C16" s="17" t="s">
        <v>16</v>
      </c>
      <c r="D16" s="19">
        <f>SQRT(D15)</f>
        <v>29.9290828459544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20"/>
  <sheetViews>
    <sheetView topLeftCell="A2" workbookViewId="0">
      <selection activeCell="A3" sqref="A3"/>
    </sheetView>
  </sheetViews>
  <sheetFormatPr defaultColWidth="8.72727272727273" defaultRowHeight="14.5" outlineLevelCol="2"/>
  <sheetData>
    <row r="3" spans="1:3">
      <c r="A3" s="4"/>
      <c r="B3" s="5"/>
      <c r="C3" s="6"/>
    </row>
    <row r="4" spans="1:3">
      <c r="A4" s="7"/>
      <c r="B4" s="8"/>
      <c r="C4" s="9"/>
    </row>
    <row r="5" spans="1:3">
      <c r="A5" s="7"/>
      <c r="B5" s="8"/>
      <c r="C5" s="9"/>
    </row>
    <row r="6" spans="1:3">
      <c r="A6" s="7"/>
      <c r="B6" s="8"/>
      <c r="C6" s="9"/>
    </row>
    <row r="7" spans="1:3">
      <c r="A7" s="7"/>
      <c r="B7" s="8"/>
      <c r="C7" s="9"/>
    </row>
    <row r="8" spans="1:3">
      <c r="A8" s="7"/>
      <c r="B8" s="8"/>
      <c r="C8" s="9"/>
    </row>
    <row r="9" spans="1:3">
      <c r="A9" s="7"/>
      <c r="B9" s="8"/>
      <c r="C9" s="9"/>
    </row>
    <row r="10" spans="1:3">
      <c r="A10" s="7"/>
      <c r="B10" s="8"/>
      <c r="C10" s="9"/>
    </row>
    <row r="11" spans="1:3">
      <c r="A11" s="7"/>
      <c r="B11" s="8"/>
      <c r="C11" s="9"/>
    </row>
    <row r="12" spans="1:3">
      <c r="A12" s="7"/>
      <c r="B12" s="8"/>
      <c r="C12" s="9"/>
    </row>
    <row r="13" spans="1:3">
      <c r="A13" s="7"/>
      <c r="B13" s="8"/>
      <c r="C13" s="9"/>
    </row>
    <row r="14" spans="1:3">
      <c r="A14" s="7"/>
      <c r="B14" s="8"/>
      <c r="C14" s="9"/>
    </row>
    <row r="15" spans="1:3">
      <c r="A15" s="7"/>
      <c r="B15" s="8"/>
      <c r="C15" s="9"/>
    </row>
    <row r="16" spans="1:3">
      <c r="A16" s="7"/>
      <c r="B16" s="8"/>
      <c r="C16" s="9"/>
    </row>
    <row r="17" spans="1:3">
      <c r="A17" s="7"/>
      <c r="B17" s="8"/>
      <c r="C17" s="9"/>
    </row>
    <row r="18" spans="1:3">
      <c r="A18" s="7"/>
      <c r="B18" s="8"/>
      <c r="C18" s="9"/>
    </row>
    <row r="19" spans="1:3">
      <c r="A19" s="7"/>
      <c r="B19" s="8"/>
      <c r="C19" s="9"/>
    </row>
    <row r="20" spans="1:3">
      <c r="A20" s="10"/>
      <c r="B20" s="11"/>
      <c r="C20" s="12"/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tabSelected="1" zoomScale="85" zoomScaleNormal="85" workbookViewId="0">
      <selection activeCell="N24" sqref="N24"/>
    </sheetView>
  </sheetViews>
  <sheetFormatPr defaultColWidth="8.68181818181818" defaultRowHeight="14.5" outlineLevelCol="1"/>
  <cols>
    <col min="1" max="1" width="14" customWidth="1"/>
    <col min="2" max="2" width="59.6727272727273" customWidth="1"/>
  </cols>
  <sheetData>
    <row r="1" ht="18" spans="1:2">
      <c r="A1" s="1" t="s">
        <v>26</v>
      </c>
      <c r="B1" s="1"/>
    </row>
    <row r="2" spans="1:2">
      <c r="A2" s="2" t="s">
        <v>27</v>
      </c>
      <c r="B2" s="2" t="s">
        <v>28</v>
      </c>
    </row>
    <row r="3" spans="1:2">
      <c r="A3" s="3">
        <v>1760</v>
      </c>
      <c r="B3" s="3">
        <v>2.64</v>
      </c>
    </row>
    <row r="4" spans="1:2">
      <c r="A4" s="3">
        <v>1943</v>
      </c>
      <c r="B4" s="3">
        <v>2.98</v>
      </c>
    </row>
    <row r="5" spans="1:2">
      <c r="A5" s="3">
        <v>1914</v>
      </c>
      <c r="B5" s="3">
        <v>3.13</v>
      </c>
    </row>
    <row r="6" spans="1:2">
      <c r="A6" s="3">
        <v>1618</v>
      </c>
      <c r="B6" s="3">
        <v>1.76</v>
      </c>
    </row>
    <row r="7" spans="1:2">
      <c r="A7" s="3">
        <v>1369</v>
      </c>
      <c r="B7" s="3">
        <v>1.99</v>
      </c>
    </row>
    <row r="10" spans="1:2">
      <c r="A10" t="s">
        <v>29</v>
      </c>
      <c r="B10" cm="1">
        <f t="array" ref="B10">CORREL(A3:A7,B3:B7)</f>
        <v>0.860037939833781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Juganda</vt:lpstr>
      <vt:lpstr>Krance</vt:lpstr>
      <vt:lpstr>Sheet1</vt:lpstr>
      <vt:lpstr>Rajajinagar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Musab Butt</cp:lastModifiedBy>
  <cp:revision>0</cp:revision>
  <dcterms:created xsi:type="dcterms:W3CDTF">2026-08-31T13:36:00Z</dcterms:created>
  <dcterms:modified xsi:type="dcterms:W3CDTF">2026-08-31T14:08:01Z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4337C17DD0FE4B2F80A6317F448C3D86_12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