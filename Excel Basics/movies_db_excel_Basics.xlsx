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90" firstSheet="1" activeTab="6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Profit And Loss Statement" sheetId="6" r:id="rId6"/>
    <sheet name="Mean,median,M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<sst xmlns="http://schemas.openxmlformats.org/spreadsheetml/2006/main" count="340" uniqueCount="194">
  <si>
    <t>movie_id</t>
  </si>
  <si>
    <t>title</t>
  </si>
  <si>
    <t>industry</t>
  </si>
  <si>
    <t>release_year</t>
  </si>
  <si>
    <t>imdb_rating</t>
  </si>
  <si>
    <t>studio</t>
  </si>
  <si>
    <t>language_id</t>
  </si>
  <si>
    <t>budget</t>
  </si>
  <si>
    <t>revenue</t>
  </si>
  <si>
    <t>unit</t>
  </si>
  <si>
    <t>currency</t>
  </si>
  <si>
    <t>budget (mln)</t>
  </si>
  <si>
    <t>revenue (mln)</t>
  </si>
  <si>
    <t>budget INR</t>
  </si>
  <si>
    <t>revenue INR</t>
  </si>
  <si>
    <t>budget USD</t>
  </si>
  <si>
    <t>revenue USD</t>
  </si>
  <si>
    <t>K.G.F: Chapter 2</t>
  </si>
  <si>
    <t>Bollywood</t>
  </si>
  <si>
    <t>Hombale Films</t>
  </si>
  <si>
    <t>Doctor Strange in the Multiverse of Madness</t>
  </si>
  <si>
    <t>Hollywood</t>
  </si>
  <si>
    <t>Marvel Studios</t>
  </si>
  <si>
    <t>Thor: The Dark World</t>
  </si>
  <si>
    <t>Thor: Ragnarok</t>
  </si>
  <si>
    <t>Thor: Love and Thunder</t>
  </si>
  <si>
    <t>Sholay</t>
  </si>
  <si>
    <t>United Producers</t>
  </si>
  <si>
    <t xml:space="preserve">Not Avaiable </t>
  </si>
  <si>
    <t>Not Available</t>
  </si>
  <si>
    <t>Dilwale Dulhania Le Jayenge</t>
  </si>
  <si>
    <t>Yash Raj Films</t>
  </si>
  <si>
    <t>3 Idiots</t>
  </si>
  <si>
    <t>Vinod Chopra Films</t>
  </si>
  <si>
    <t>Kabhi Khushi Kabhie Gham</t>
  </si>
  <si>
    <t>Dharma Productions</t>
  </si>
  <si>
    <t>Bajirao Mastani</t>
  </si>
  <si>
    <t>The Shawshank Redemption</t>
  </si>
  <si>
    <t>Castle Rock Entertainment</t>
  </si>
  <si>
    <t>Inception</t>
  </si>
  <si>
    <t>Warner Bros. Pictures</t>
  </si>
  <si>
    <t>Interstellar</t>
  </si>
  <si>
    <t>The Pursuit of Happyness</t>
  </si>
  <si>
    <t>Columbia Pictures</t>
  </si>
  <si>
    <t>Gladiator</t>
  </si>
  <si>
    <t>Universal Pictures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</si>
  <si>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</si>
  <si>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</si>
  <si>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</si>
  <si>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</si>
  <si>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</si>
  <si>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</si>
  <si>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</si>
  <si>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</si>
  <si>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</si>
  <si>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</si>
  <si>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</si>
  <si>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</si>
  <si>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</si>
  <si>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</si>
  <si>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</si>
  <si>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</si>
  <si>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</si>
  <si>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</si>
  <si>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Vinod Chopra Productions</t>
  </si>
  <si>
    <t>PK</t>
  </si>
  <si>
    <t>Sanju</t>
  </si>
  <si>
    <t>NULL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</si>
  <si>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</si>
  <si>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</si>
  <si>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</si>
  <si>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</si>
  <si>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</si>
  <si>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</si>
  <si>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The Kashmir Files</t>
  </si>
  <si>
    <t>Zee Studios</t>
  </si>
  <si>
    <t>Bajrangi Bhaijaan</t>
  </si>
  <si>
    <t>Salman Khan Films</t>
  </si>
  <si>
    <t>Captain America: The First Avenger</t>
  </si>
  <si>
    <t>Captain America: The Winter Soldier</t>
  </si>
  <si>
    <t>Race 3</t>
  </si>
  <si>
    <t>Shershaah</t>
  </si>
  <si>
    <t>Total Budget INR</t>
  </si>
  <si>
    <t>Total Revenue INR</t>
  </si>
  <si>
    <t>Total budget USD</t>
  </si>
  <si>
    <t>Total revenue USD</t>
  </si>
  <si>
    <t xml:space="preserve">Total Movies </t>
  </si>
  <si>
    <t>Total Bollywood Movies</t>
  </si>
  <si>
    <t>Total Bollywood revenue INR</t>
  </si>
  <si>
    <t>Avg. Bollywood revenue INR</t>
  </si>
  <si>
    <t>% Avg. Bollywood revenue INR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</si>
  <si>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</si>
  <si>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</si>
  <si>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</si>
  <si>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</si>
  <si>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</si>
  <si>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</si>
  <si>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</si>
  <si>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</si>
  <si>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</si>
  <si>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</si>
  <si>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</si>
  <si>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</si>
  <si>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</si>
  <si>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</si>
  <si>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</si>
  <si>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</si>
  <si>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</si>
  <si>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</si>
  <si>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</si>
  <si>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</si>
  <si>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</si>
  <si>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</si>
  <si>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</si>
  <si>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</si>
  <si>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</si>
  <si>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</si>
  <si>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</si>
  <si>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</si>
  <si>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</si>
  <si>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</si>
  <si>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</si>
  <si>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</si>
  <si>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</si>
  <si>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</si>
  <si>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</si>
  <si>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</si>
  <si>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</si>
  <si>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</si>
  <si>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</si>
  <si>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</si>
  <si>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</si>
  <si>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</si>
  <si>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</si>
  <si>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</si>
  <si>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</si>
  <si>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</si>
  <si>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</si>
  <si>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</si>
  <si>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</si>
  <si>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</si>
  <si>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</si>
  <si>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</si>
  <si>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</si>
  <si>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</si>
  <si>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</si>
  <si>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</si>
  <si>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</si>
  <si>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</si>
  <si>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</si>
  <si>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</si>
  <si>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</si>
  <si>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</si>
  <si>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</si>
  <si>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</si>
  <si>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</si>
  <si>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</si>
  <si>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</si>
  <si>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</si>
  <si>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</si>
  <si>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</si>
  <si>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</si>
  <si>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</si>
  <si>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</si>
  <si>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</si>
  <si>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</si>
  <si>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</si>
  <si>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</si>
  <si>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</si>
  <si>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</si>
  <si>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</si>
  <si>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</si>
  <si>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</si>
  <si>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Key Matrics</t>
  </si>
  <si>
    <t>Marvel Consolidated P and L</t>
  </si>
  <si>
    <t xml:space="preserve">Target  </t>
  </si>
  <si>
    <t>Target - Actuals</t>
  </si>
  <si>
    <t>Target - Actuals %</t>
  </si>
  <si>
    <t xml:space="preserve">Revenue </t>
  </si>
  <si>
    <t>Budget</t>
  </si>
  <si>
    <t>P / L</t>
  </si>
  <si>
    <t>P / L %</t>
  </si>
  <si>
    <t>Market Share %</t>
  </si>
  <si>
    <t xml:space="preserve"> </t>
  </si>
  <si>
    <t xml:space="preserve">Mean </t>
  </si>
  <si>
    <t xml:space="preserve">Average affected by outliers </t>
  </si>
  <si>
    <t xml:space="preserve">Median </t>
  </si>
  <si>
    <t xml:space="preserve">Used when there are outliers </t>
  </si>
  <si>
    <t>Mode</t>
  </si>
  <si>
    <t>Most repeated rating</t>
  </si>
  <si>
    <t>Variance</t>
  </si>
  <si>
    <t>show dispersion</t>
  </si>
  <si>
    <t>Std. Deviation</t>
  </si>
  <si>
    <t>under root of 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</si>
</sst>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820]#,##0.00;[Red][$₹-820]\-#,##0.00"/>
    <numFmt numFmtId="179" formatCode="&quot;$&quot;#,##0.00;[Red]&quot;$&quot;#,##0.00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/>
    <xf numFmtId="176" fontId="0" fillId="3" borderId="0" xfId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8" fontId="0" fillId="2" borderId="0" xfId="0" applyNumberFormat="1" applyFill="1"/>
    <xf numFmtId="9" fontId="0" fillId="2" borderId="0" xfId="3" applyFill="1"/>
    <xf numFmtId="9" fontId="0" fillId="2" borderId="0" xfId="3" applyFill="1" applyAlignment="1"/>
    <xf numFmtId="9" fontId="0" fillId="2" borderId="0" xfId="3" applyNumberFormat="1" applyFill="1"/>
    <xf numFmtId="9" fontId="0" fillId="2" borderId="0" xfId="0" applyNumberFormat="1" applyFill="1"/>
    <xf numFmtId="0" fontId="0" fillId="6" borderId="0" xfId="0" applyFill="1"/>
    <xf numFmtId="0" fontId="1" fillId="6" borderId="0" xfId="0" applyFont="1" applyFill="1"/>
    <xf numFmtId="0" fontId="0" fillId="0" borderId="0" xfId="0" applyNumberFormat="1"/>
    <xf numFmtId="178" fontId="0" fillId="7" borderId="0" xfId="0" applyNumberFormat="1" applyFill="1"/>
    <xf numFmtId="179" fontId="0" fillId="7" borderId="0" xfId="0" applyNumberFormat="1" applyFill="1"/>
    <xf numFmtId="0" fontId="0" fillId="7" borderId="0" xfId="0" applyFill="1"/>
    <xf numFmtId="9" fontId="0" fillId="7" borderId="0" xfId="3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 defaultPivotStyle="PivotStyleLight16">
    <tableStyle name="Invisible" pivot="0" table="0" count="0" xr9:uid="{0C59CEFB-11D2-40C5-BAED-A0608A7475C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vies" displayName="Movies" ref="A1:Q40" totalsRowShown="0">
  <autoFilter xmlns:etc="http://www.wps.cn/officeDocument/2017/etCustomData" ref="A1:Q40" etc:filterBottomFollowUsedRange="0"/>
  <tableColumns count="17">
    <tableColumn id="1" name="movie_id"/>
    <tableColumn id="8" name="title"/>
    <tableColumn id="3" name="industry"/>
    <tableColumn id="4" name="release_year"/>
    <tableColumn id="5" name="imdb_rating"/>
    <tableColumn id="6" name="studio"/>
    <tableColumn id="7" name="language_id"/>
    <tableColumn id="14" name="budget" dataDxfId="0">
      <calculatedColumnFormula array="1">_xlfn.XLOOKUP(Movies[[#This Row],[movie_id]:[movie_id]],Financials[[#All],[movie_id]:[movie_id]],Financials[[#All],[budget]],"Not Available",0)</calculatedColumnFormula>
    </tableColumn>
    <tableColumn id="19" name="revenue">
      <calculatedColumnFormula array="1">_xlfn.XLOOKUP(Movies[[#This Row],[movie_id]:[movie_id]],Financials[[#All],[movie_id]:[movie_id]],Financials[[#All],[revenue]],"Not Available",0)</calculatedColumnFormula>
    </tableColumn>
    <tableColumn id="15" name="unit" dataDxfId="1">
      <calculatedColumnFormula array="1">_xlfn.XLOOKUP(Movies[[#This Row],[movie_id]:[movie_id]],Financials[[#All],[movie_id]:[movie_id]],Financials[[#All],[unit]],"Not Available",0)</calculatedColumnFormula>
    </tableColumn>
    <tableColumn id="16" name="currency" dataDxfId="2">
      <calculatedColumnFormula array="1">_xlfn.XLOOKUP(Movies[[#This Row],[movie_id]:[movie_id]],Financials[[#All],[movie_id]:[movie_id]],Financials[[#All],[currency]],"Not Available",0)</calculatedColumnFormula>
    </tableColumn>
    <tableColumn id="2" name="budget (mln)" dataDxfId="3">
      <calculatedColumnFormula>IF(J2="Billions",H2*1000,H2)</calculatedColumnFormula>
    </tableColumn>
    <tableColumn id="9" name="revenue (mln)" dataDxfId="4">
      <calculatedColumnFormula>IF(J2="Billions",I2*1000,I2)</calculatedColumnFormula>
    </tableColumn>
    <tableColumn id="10" name="budget INR" dataDxfId="5">
      <calculatedColumnFormula>IF(K2="INR",L2,L2*80)</calculatedColumnFormula>
    </tableColumn>
    <tableColumn id="11" name="revenue INR" dataDxfId="6">
      <calculatedColumnFormula>IF(K2="INR",M2,M2*80)</calculatedColumnFormula>
    </tableColumn>
    <tableColumn id="12" name="budget USD" dataDxfId="7">
      <calculatedColumnFormula>IF(K2="USD",L2,L2/80)</calculatedColumnFormula>
    </tableColumn>
    <tableColumn id="13" name="revenue USD" dataDxfId="8">
      <calculatedColumnFormula>IF(K2="USD",M2,M2/80)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ncials" displayName="Financials" ref="A1:E41" totalsRowShown="0">
  <autoFilter xmlns:etc="http://www.wps.cn/officeDocument/2017/etCustomData" ref="A1:E41" etc:filterBottomFollowUsedRange="0"/>
  <tableColumns count="5">
    <tableColumn id="1" name="movie_id"/>
    <tableColumn id="2" name="budget"/>
    <tableColumn id="3" name="revenue"/>
    <tableColumn id="4" name="unit"/>
    <tableColumn id="5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ors" displayName="actors" ref="A1:C68" totalsRowShown="0">
  <autoFilter xmlns:etc="http://www.wps.cn/officeDocument/2017/etCustomData" ref="A1:C68" etc:filterBottomFollowUsedRange="0"/>
  <tableColumns count="3">
    <tableColumn id="1" name="actor_id"/>
    <tableColumn id="2" name="name"/>
    <tableColumn id="3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vieactor" displayName="movieactor" ref="A1:B86" totalsRowShown="0">
  <autoFilter xmlns:etc="http://www.wps.cn/officeDocument/2017/etCustomData" ref="A1:B86" etc:filterBottomFollowUsedRange="0"/>
  <tableColumns count="2">
    <tableColumn id="1" name="movie_id"/>
    <tableColumn id="2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anguages" displayName="languages" ref="A1:B9" totalsRowShown="0">
  <autoFilter xmlns:etc="http://www.wps.cn/officeDocument/2017/etCustomData" ref="A1:B9" etc:filterBottomFollowUsedRange="0"/>
  <tableColumns count="2">
    <tableColumn id="1" name="language_id"/>
    <tableColumn id="2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zoomScale="93" zoomScaleNormal="93" topLeftCell="J25" workbookViewId="0">
      <selection activeCell="L52" sqref="L52"/>
    </sheetView>
  </sheetViews>
  <sheetFormatPr defaultColWidth="9" defaultRowHeight="14.5"/>
  <cols>
    <col min="1" max="1" width="11.8545454545455" customWidth="1"/>
    <col min="2" max="2" width="29.7090909090909" customWidth="1"/>
    <col min="3" max="3" width="10.5727272727273" customWidth="1"/>
    <col min="4" max="4" width="5.13636363636364" customWidth="1"/>
    <col min="5" max="5" width="6.13636363636364" customWidth="1"/>
    <col min="6" max="6" width="22" customWidth="1"/>
    <col min="7" max="7" width="6.28181818181818" customWidth="1"/>
    <col min="8" max="8" width="16.7090909090909" customWidth="1"/>
    <col min="9" max="9" width="27.1090909090909" customWidth="1"/>
    <col min="10" max="10" width="13.1363636363636" customWidth="1"/>
    <col min="11" max="11" width="19.1727272727273" customWidth="1"/>
    <col min="12" max="12" width="15.0727272727273" customWidth="1"/>
    <col min="13" max="13" width="17.6363636363636" customWidth="1"/>
    <col min="14" max="14" width="15.4727272727273" customWidth="1"/>
    <col min="15" max="15" width="19.2545454545455" customWidth="1"/>
    <col min="16" max="16" width="18.8727272727273" customWidth="1"/>
    <col min="17" max="17" width="15.9818181818182" customWidth="1"/>
  </cols>
  <sheetData>
    <row r="1" spans="1:1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101</v>
      </c>
      <c r="B2" t="s">
        <v>17</v>
      </c>
      <c r="C2" t="s">
        <v>18</v>
      </c>
      <c r="D2">
        <v>2022</v>
      </c>
      <c r="E2">
        <v>8.4</v>
      </c>
      <c r="F2" t="s">
        <v>19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 s="13">
        <f t="shared" ref="L2:L40" si="0">IF(J2="Billions",H2*1000,H2)</f>
        <v>1000</v>
      </c>
      <c r="M2" s="13">
        <f t="shared" ref="M2:M40" si="1">IF(J2="Billions",I2*1000,I2)</f>
        <v>12500</v>
      </c>
      <c r="N2" s="13">
        <f t="shared" ref="N2:N40" si="2">IF(K2="INR",L2,L2*80)</f>
        <v>1000</v>
      </c>
      <c r="O2" s="13">
        <f t="shared" ref="O2:O40" si="3">IF(K2="INR",M2,M2*80)</f>
        <v>12500</v>
      </c>
      <c r="P2" s="13">
        <f t="shared" ref="P2:P40" si="4">IF(K2="USD",L2,L2/80)</f>
        <v>12.5</v>
      </c>
      <c r="Q2" s="13">
        <f t="shared" ref="Q2:Q40" si="5">IF(K2="USD",M2,M2/80)</f>
        <v>156.25</v>
      </c>
    </row>
    <row r="3" spans="1:17">
      <c r="A3">
        <v>102</v>
      </c>
      <c r="B3" t="s">
        <v>20</v>
      </c>
      <c r="C3" t="s">
        <v>21</v>
      </c>
      <c r="D3">
        <v>2022</v>
      </c>
      <c r="E3">
        <v>7</v>
      </c>
      <c r="F3" t="s">
        <v>22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 s="13">
        <f t="shared" si="0"/>
        <v>200</v>
      </c>
      <c r="M3" s="13">
        <f t="shared" si="1"/>
        <v>954.8</v>
      </c>
      <c r="N3" s="13">
        <f t="shared" si="2"/>
        <v>16000</v>
      </c>
      <c r="O3" s="13">
        <f t="shared" si="3"/>
        <v>76384</v>
      </c>
      <c r="P3" s="13">
        <f t="shared" si="4"/>
        <v>200</v>
      </c>
      <c r="Q3" s="13">
        <f t="shared" si="5"/>
        <v>954.8</v>
      </c>
    </row>
    <row r="4" spans="1:17">
      <c r="A4">
        <v>103</v>
      </c>
      <c r="B4" t="s">
        <v>23</v>
      </c>
      <c r="C4" t="s">
        <v>21</v>
      </c>
      <c r="D4">
        <v>2013</v>
      </c>
      <c r="E4">
        <v>6.8</v>
      </c>
      <c r="F4" t="s">
        <v>22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644.8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 s="13">
        <f t="shared" si="0"/>
        <v>165</v>
      </c>
      <c r="M4" s="13">
        <f t="shared" si="1"/>
        <v>644.8</v>
      </c>
      <c r="N4" s="13">
        <f t="shared" si="2"/>
        <v>13200</v>
      </c>
      <c r="O4" s="13">
        <f t="shared" si="3"/>
        <v>51584</v>
      </c>
      <c r="P4" s="13">
        <f t="shared" si="4"/>
        <v>165</v>
      </c>
      <c r="Q4" s="13">
        <f t="shared" si="5"/>
        <v>644.8</v>
      </c>
    </row>
    <row r="5" spans="1:17">
      <c r="A5">
        <v>104</v>
      </c>
      <c r="B5" t="s">
        <v>24</v>
      </c>
      <c r="C5" t="s">
        <v>21</v>
      </c>
      <c r="D5">
        <v>2017</v>
      </c>
      <c r="E5">
        <v>7.9</v>
      </c>
      <c r="F5" t="s">
        <v>22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 s="13">
        <f t="shared" si="0"/>
        <v>180</v>
      </c>
      <c r="M5" s="13">
        <f t="shared" si="1"/>
        <v>854</v>
      </c>
      <c r="N5" s="13">
        <f t="shared" si="2"/>
        <v>14400</v>
      </c>
      <c r="O5" s="13">
        <f t="shared" si="3"/>
        <v>68320</v>
      </c>
      <c r="P5" s="13">
        <f t="shared" si="4"/>
        <v>180</v>
      </c>
      <c r="Q5" s="13">
        <f t="shared" si="5"/>
        <v>854</v>
      </c>
    </row>
    <row r="6" spans="1:17">
      <c r="A6">
        <v>105</v>
      </c>
      <c r="B6" t="s">
        <v>25</v>
      </c>
      <c r="C6" t="s">
        <v>21</v>
      </c>
      <c r="D6">
        <v>2022</v>
      </c>
      <c r="E6">
        <v>6.8</v>
      </c>
      <c r="F6" t="s">
        <v>22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 s="13">
        <f t="shared" si="0"/>
        <v>250</v>
      </c>
      <c r="M6" s="13">
        <f t="shared" si="1"/>
        <v>670</v>
      </c>
      <c r="N6" s="13">
        <f t="shared" si="2"/>
        <v>20000</v>
      </c>
      <c r="O6" s="13">
        <f t="shared" si="3"/>
        <v>53600</v>
      </c>
      <c r="P6" s="13">
        <f t="shared" si="4"/>
        <v>250</v>
      </c>
      <c r="Q6" s="13">
        <f t="shared" si="5"/>
        <v>670</v>
      </c>
    </row>
    <row r="7" spans="1:17">
      <c r="A7">
        <v>106</v>
      </c>
      <c r="B7" t="s">
        <v>26</v>
      </c>
      <c r="C7" t="s">
        <v>18</v>
      </c>
      <c r="D7">
        <v>1975</v>
      </c>
      <c r="E7">
        <v>8.1</v>
      </c>
      <c r="F7" t="s">
        <v>27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  <c r="L7" s="13" t="str">
        <f t="shared" si="0"/>
        <v>Not Available</v>
      </c>
      <c r="M7" s="13" t="str">
        <f t="shared" si="1"/>
        <v>Not Available</v>
      </c>
      <c r="N7" s="13" t="s">
        <v>28</v>
      </c>
      <c r="O7" s="13" t="s">
        <v>29</v>
      </c>
      <c r="P7" s="13" t="s">
        <v>29</v>
      </c>
      <c r="Q7" s="13" t="s">
        <v>29</v>
      </c>
    </row>
    <row r="8" spans="1:17">
      <c r="A8">
        <v>107</v>
      </c>
      <c r="B8" t="s">
        <v>30</v>
      </c>
      <c r="C8" t="s">
        <v>18</v>
      </c>
      <c r="D8">
        <v>1995</v>
      </c>
      <c r="E8">
        <v>8</v>
      </c>
      <c r="F8" t="s">
        <v>31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 s="13">
        <f t="shared" si="0"/>
        <v>400</v>
      </c>
      <c r="M8" s="13">
        <f t="shared" si="1"/>
        <v>2000</v>
      </c>
      <c r="N8" s="13">
        <f t="shared" si="2"/>
        <v>400</v>
      </c>
      <c r="O8" s="13">
        <f t="shared" si="3"/>
        <v>2000</v>
      </c>
      <c r="P8" s="13">
        <f t="shared" si="4"/>
        <v>5</v>
      </c>
      <c r="Q8" s="13">
        <f t="shared" si="5"/>
        <v>25</v>
      </c>
    </row>
    <row r="9" spans="1:17">
      <c r="A9">
        <v>108</v>
      </c>
      <c r="B9" t="s">
        <v>32</v>
      </c>
      <c r="C9" t="s">
        <v>18</v>
      </c>
      <c r="D9">
        <v>2009</v>
      </c>
      <c r="E9">
        <v>8.4</v>
      </c>
      <c r="F9" t="s">
        <v>33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 s="13">
        <f t="shared" si="0"/>
        <v>550</v>
      </c>
      <c r="M9" s="13">
        <f t="shared" si="1"/>
        <v>4000</v>
      </c>
      <c r="N9" s="13">
        <f t="shared" si="2"/>
        <v>550</v>
      </c>
      <c r="O9" s="13">
        <f t="shared" si="3"/>
        <v>4000</v>
      </c>
      <c r="P9" s="13">
        <f t="shared" si="4"/>
        <v>6.875</v>
      </c>
      <c r="Q9" s="13">
        <f t="shared" si="5"/>
        <v>50</v>
      </c>
    </row>
    <row r="10" spans="1:17">
      <c r="A10">
        <v>109</v>
      </c>
      <c r="B10" t="s">
        <v>34</v>
      </c>
      <c r="C10" t="s">
        <v>18</v>
      </c>
      <c r="D10">
        <v>2001</v>
      </c>
      <c r="E10">
        <v>7.4</v>
      </c>
      <c r="F10" t="s">
        <v>35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  <c r="L10" s="13">
        <f t="shared" si="0"/>
        <v>390</v>
      </c>
      <c r="M10" s="13">
        <f t="shared" si="1"/>
        <v>1360</v>
      </c>
      <c r="N10" s="13">
        <f t="shared" si="2"/>
        <v>390</v>
      </c>
      <c r="O10" s="13">
        <f t="shared" si="3"/>
        <v>1360</v>
      </c>
      <c r="P10" s="13">
        <f t="shared" si="4"/>
        <v>4.875</v>
      </c>
      <c r="Q10" s="13">
        <f t="shared" si="5"/>
        <v>17</v>
      </c>
    </row>
    <row r="11" spans="1:17">
      <c r="A11">
        <v>110</v>
      </c>
      <c r="B11" t="s">
        <v>36</v>
      </c>
      <c r="C11" t="s">
        <v>18</v>
      </c>
      <c r="D11">
        <v>2015</v>
      </c>
      <c r="E11">
        <v>7.2</v>
      </c>
      <c r="F11" t="s">
        <v>29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  <c r="L11" s="13">
        <f t="shared" si="0"/>
        <v>1400</v>
      </c>
      <c r="M11" s="13">
        <f t="shared" si="1"/>
        <v>3500</v>
      </c>
      <c r="N11" s="13">
        <f t="shared" si="2"/>
        <v>1400</v>
      </c>
      <c r="O11" s="13">
        <f t="shared" si="3"/>
        <v>3500</v>
      </c>
      <c r="P11" s="13">
        <f t="shared" si="4"/>
        <v>17.5</v>
      </c>
      <c r="Q11" s="13">
        <f t="shared" si="5"/>
        <v>43.75</v>
      </c>
    </row>
    <row r="12" spans="1:17">
      <c r="A12">
        <v>111</v>
      </c>
      <c r="B12" t="s">
        <v>37</v>
      </c>
      <c r="C12" t="s">
        <v>21</v>
      </c>
      <c r="D12">
        <v>1994</v>
      </c>
      <c r="E12">
        <v>9.3</v>
      </c>
      <c r="F12" t="s">
        <v>38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 s="13">
        <f t="shared" si="0"/>
        <v>25</v>
      </c>
      <c r="M12" s="13">
        <f t="shared" si="1"/>
        <v>73.3</v>
      </c>
      <c r="N12" s="13">
        <f t="shared" si="2"/>
        <v>2000</v>
      </c>
      <c r="O12" s="13">
        <f t="shared" si="3"/>
        <v>5864</v>
      </c>
      <c r="P12" s="13">
        <f t="shared" si="4"/>
        <v>25</v>
      </c>
      <c r="Q12" s="13">
        <f t="shared" si="5"/>
        <v>73.3</v>
      </c>
    </row>
    <row r="13" spans="1:17">
      <c r="A13">
        <v>112</v>
      </c>
      <c r="B13" t="s">
        <v>39</v>
      </c>
      <c r="C13" t="s">
        <v>21</v>
      </c>
      <c r="D13">
        <v>2010</v>
      </c>
      <c r="E13">
        <v>8.8</v>
      </c>
      <c r="F13" t="s">
        <v>40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  <c r="L13" s="13" t="str">
        <f t="shared" si="0"/>
        <v>Not Available</v>
      </c>
      <c r="M13" s="13" t="str">
        <f t="shared" si="1"/>
        <v>Not Available</v>
      </c>
      <c r="N13" s="13" t="s">
        <v>28</v>
      </c>
      <c r="O13" s="13" t="s">
        <v>29</v>
      </c>
      <c r="P13" s="13" t="s">
        <v>29</v>
      </c>
      <c r="Q13" s="13" t="s">
        <v>29</v>
      </c>
    </row>
    <row r="14" spans="1:17">
      <c r="A14">
        <v>113</v>
      </c>
      <c r="B14" t="s">
        <v>41</v>
      </c>
      <c r="C14" t="s">
        <v>21</v>
      </c>
      <c r="D14">
        <v>2014</v>
      </c>
      <c r="E14">
        <v>8.6</v>
      </c>
      <c r="F14" t="s">
        <v>40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  <c r="L14" s="13">
        <f t="shared" si="0"/>
        <v>165</v>
      </c>
      <c r="M14" s="13">
        <f t="shared" si="1"/>
        <v>701.8</v>
      </c>
      <c r="N14" s="13">
        <f t="shared" si="2"/>
        <v>13200</v>
      </c>
      <c r="O14" s="13">
        <f t="shared" si="3"/>
        <v>56144</v>
      </c>
      <c r="P14" s="13">
        <f t="shared" si="4"/>
        <v>165</v>
      </c>
      <c r="Q14" s="13">
        <f t="shared" si="5"/>
        <v>701.8</v>
      </c>
    </row>
    <row r="15" spans="1:17">
      <c r="A15">
        <v>115</v>
      </c>
      <c r="B15" t="s">
        <v>42</v>
      </c>
      <c r="C15" t="s">
        <v>21</v>
      </c>
      <c r="D15">
        <v>2006</v>
      </c>
      <c r="E15">
        <v>8</v>
      </c>
      <c r="F15" t="s">
        <v>43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 s="13">
        <f t="shared" si="0"/>
        <v>55</v>
      </c>
      <c r="M15" s="13">
        <f t="shared" si="1"/>
        <v>307.1</v>
      </c>
      <c r="N15" s="13">
        <f t="shared" si="2"/>
        <v>4400</v>
      </c>
      <c r="O15" s="13">
        <f t="shared" si="3"/>
        <v>24568</v>
      </c>
      <c r="P15" s="13">
        <f t="shared" si="4"/>
        <v>55</v>
      </c>
      <c r="Q15" s="13">
        <f t="shared" si="5"/>
        <v>307.1</v>
      </c>
    </row>
    <row r="16" spans="1:17">
      <c r="A16">
        <v>116</v>
      </c>
      <c r="B16" t="s">
        <v>44</v>
      </c>
      <c r="C16" t="s">
        <v>21</v>
      </c>
      <c r="D16">
        <v>2000</v>
      </c>
      <c r="E16">
        <v>8.5</v>
      </c>
      <c r="F16" t="s">
        <v>45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  <c r="L16" s="13">
        <f t="shared" si="0"/>
        <v>103</v>
      </c>
      <c r="M16" s="13">
        <f t="shared" si="1"/>
        <v>460.5</v>
      </c>
      <c r="N16" s="13">
        <f t="shared" si="2"/>
        <v>8240</v>
      </c>
      <c r="O16" s="13">
        <f t="shared" si="3"/>
        <v>36840</v>
      </c>
      <c r="P16" s="13">
        <f t="shared" si="4"/>
        <v>103</v>
      </c>
      <c r="Q16" s="13">
        <f t="shared" si="5"/>
        <v>460.5</v>
      </c>
    </row>
    <row r="17" spans="1:17">
      <c r="A17">
        <v>117</v>
      </c>
      <c r="B17" t="s">
        <v>46</v>
      </c>
      <c r="C17" t="s">
        <v>21</v>
      </c>
      <c r="D17">
        <v>1997</v>
      </c>
      <c r="E17">
        <v>7.9</v>
      </c>
      <c r="F17" t="s">
        <v>47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  <c r="L17" s="13">
        <f t="shared" si="0"/>
        <v>200</v>
      </c>
      <c r="M17" s="13">
        <f t="shared" si="1"/>
        <v>2202</v>
      </c>
      <c r="N17" s="13">
        <f t="shared" si="2"/>
        <v>16000</v>
      </c>
      <c r="O17" s="13">
        <f t="shared" si="3"/>
        <v>176160</v>
      </c>
      <c r="P17" s="13">
        <f t="shared" si="4"/>
        <v>200</v>
      </c>
      <c r="Q17" s="13">
        <f t="shared" si="5"/>
        <v>2202</v>
      </c>
    </row>
    <row r="18" spans="1:17">
      <c r="A18">
        <v>118</v>
      </c>
      <c r="B18" t="s">
        <v>48</v>
      </c>
      <c r="C18" t="s">
        <v>21</v>
      </c>
      <c r="D18">
        <v>1946</v>
      </c>
      <c r="E18">
        <v>8.6</v>
      </c>
      <c r="F18" t="s">
        <v>49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  <c r="L18" s="13">
        <f t="shared" si="0"/>
        <v>3.18</v>
      </c>
      <c r="M18" s="13">
        <f t="shared" si="1"/>
        <v>3.3</v>
      </c>
      <c r="N18" s="13">
        <f t="shared" si="2"/>
        <v>254.4</v>
      </c>
      <c r="O18" s="13">
        <f t="shared" si="3"/>
        <v>264</v>
      </c>
      <c r="P18" s="13">
        <f t="shared" si="4"/>
        <v>3.18</v>
      </c>
      <c r="Q18" s="13">
        <f t="shared" si="5"/>
        <v>3.3</v>
      </c>
    </row>
    <row r="19" spans="1:17">
      <c r="A19">
        <v>119</v>
      </c>
      <c r="B19" t="s">
        <v>50</v>
      </c>
      <c r="C19" t="s">
        <v>21</v>
      </c>
      <c r="D19">
        <v>2009</v>
      </c>
      <c r="E19">
        <v>7.8</v>
      </c>
      <c r="F19" t="s">
        <v>51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  <c r="L19" s="13">
        <f t="shared" si="0"/>
        <v>237</v>
      </c>
      <c r="M19" s="13">
        <f t="shared" si="1"/>
        <v>2847</v>
      </c>
      <c r="N19" s="13">
        <f t="shared" si="2"/>
        <v>18960</v>
      </c>
      <c r="O19" s="13">
        <f t="shared" si="3"/>
        <v>227760</v>
      </c>
      <c r="P19" s="13">
        <f t="shared" si="4"/>
        <v>237</v>
      </c>
      <c r="Q19" s="13">
        <f t="shared" si="5"/>
        <v>2847</v>
      </c>
    </row>
    <row r="20" spans="1:17">
      <c r="A20">
        <v>120</v>
      </c>
      <c r="B20" t="s">
        <v>52</v>
      </c>
      <c r="C20" t="s">
        <v>21</v>
      </c>
      <c r="D20">
        <v>1972</v>
      </c>
      <c r="E20">
        <v>9.2</v>
      </c>
      <c r="F20" t="s">
        <v>47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  <c r="L20" s="13">
        <f t="shared" si="0"/>
        <v>7.2</v>
      </c>
      <c r="M20" s="13">
        <f t="shared" si="1"/>
        <v>291</v>
      </c>
      <c r="N20" s="13">
        <f t="shared" si="2"/>
        <v>576</v>
      </c>
      <c r="O20" s="13">
        <f t="shared" si="3"/>
        <v>23280</v>
      </c>
      <c r="P20" s="13">
        <f t="shared" si="4"/>
        <v>7.2</v>
      </c>
      <c r="Q20" s="13">
        <f t="shared" si="5"/>
        <v>291</v>
      </c>
    </row>
    <row r="21" spans="1:17">
      <c r="A21">
        <v>121</v>
      </c>
      <c r="B21" t="s">
        <v>53</v>
      </c>
      <c r="C21" t="s">
        <v>21</v>
      </c>
      <c r="D21">
        <v>2008</v>
      </c>
      <c r="E21">
        <v>9</v>
      </c>
      <c r="F21" t="s">
        <v>54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  <c r="L21" s="13">
        <f t="shared" si="0"/>
        <v>185</v>
      </c>
      <c r="M21" s="13">
        <f t="shared" si="1"/>
        <v>1006</v>
      </c>
      <c r="N21" s="13">
        <f t="shared" si="2"/>
        <v>14800</v>
      </c>
      <c r="O21" s="13">
        <f t="shared" si="3"/>
        <v>80480</v>
      </c>
      <c r="P21" s="13">
        <f t="shared" si="4"/>
        <v>185</v>
      </c>
      <c r="Q21" s="13">
        <f t="shared" si="5"/>
        <v>1006</v>
      </c>
    </row>
    <row r="22" spans="1:17">
      <c r="A22">
        <v>122</v>
      </c>
      <c r="B22" t="s">
        <v>55</v>
      </c>
      <c r="C22" t="s">
        <v>21</v>
      </c>
      <c r="D22">
        <v>1993</v>
      </c>
      <c r="E22">
        <v>9</v>
      </c>
      <c r="F22" t="s">
        <v>45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 s="13">
        <f t="shared" si="0"/>
        <v>22</v>
      </c>
      <c r="M22" s="13">
        <f t="shared" si="1"/>
        <v>322.2</v>
      </c>
      <c r="N22" s="13">
        <f t="shared" si="2"/>
        <v>1760</v>
      </c>
      <c r="O22" s="13">
        <f t="shared" si="3"/>
        <v>25776</v>
      </c>
      <c r="P22" s="13">
        <f t="shared" si="4"/>
        <v>22</v>
      </c>
      <c r="Q22" s="13">
        <f t="shared" si="5"/>
        <v>322.2</v>
      </c>
    </row>
    <row r="23" spans="1:17">
      <c r="A23">
        <v>123</v>
      </c>
      <c r="B23" t="s">
        <v>56</v>
      </c>
      <c r="C23" t="s">
        <v>21</v>
      </c>
      <c r="D23">
        <v>1993</v>
      </c>
      <c r="E23">
        <v>8.2</v>
      </c>
      <c r="F23" t="s">
        <v>45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  <c r="L23" s="13">
        <f t="shared" si="0"/>
        <v>63</v>
      </c>
      <c r="M23" s="13">
        <f t="shared" si="1"/>
        <v>1046</v>
      </c>
      <c r="N23" s="13">
        <f t="shared" si="2"/>
        <v>5040</v>
      </c>
      <c r="O23" s="13">
        <f t="shared" si="3"/>
        <v>83680</v>
      </c>
      <c r="P23" s="13">
        <f t="shared" si="4"/>
        <v>63</v>
      </c>
      <c r="Q23" s="13">
        <f t="shared" si="5"/>
        <v>1046</v>
      </c>
    </row>
    <row r="24" spans="1:17">
      <c r="A24">
        <v>124</v>
      </c>
      <c r="B24" t="s">
        <v>57</v>
      </c>
      <c r="C24" t="s">
        <v>21</v>
      </c>
      <c r="D24">
        <v>2019</v>
      </c>
      <c r="E24">
        <v>8.5</v>
      </c>
      <c r="F24" t="s">
        <v>29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  <c r="L24" s="13">
        <f t="shared" si="0"/>
        <v>15.5</v>
      </c>
      <c r="M24" s="13">
        <f t="shared" si="1"/>
        <v>263.1</v>
      </c>
      <c r="N24" s="13">
        <f t="shared" si="2"/>
        <v>1240</v>
      </c>
      <c r="O24" s="13">
        <f t="shared" si="3"/>
        <v>21048</v>
      </c>
      <c r="P24" s="13">
        <f t="shared" si="4"/>
        <v>15.5</v>
      </c>
      <c r="Q24" s="13">
        <f t="shared" si="5"/>
        <v>263.1</v>
      </c>
    </row>
    <row r="25" spans="1:17">
      <c r="A25">
        <v>125</v>
      </c>
      <c r="B25" t="s">
        <v>58</v>
      </c>
      <c r="C25" t="s">
        <v>21</v>
      </c>
      <c r="D25">
        <v>2019</v>
      </c>
      <c r="E25">
        <v>8.4</v>
      </c>
      <c r="F25" t="s">
        <v>22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  <c r="L25" s="13">
        <f t="shared" si="0"/>
        <v>400</v>
      </c>
      <c r="M25" s="13">
        <f t="shared" si="1"/>
        <v>2798</v>
      </c>
      <c r="N25" s="13">
        <f t="shared" si="2"/>
        <v>32000</v>
      </c>
      <c r="O25" s="13">
        <f t="shared" si="3"/>
        <v>223840</v>
      </c>
      <c r="P25" s="13">
        <f t="shared" si="4"/>
        <v>400</v>
      </c>
      <c r="Q25" s="13">
        <f t="shared" si="5"/>
        <v>2798</v>
      </c>
    </row>
    <row r="26" spans="1:17">
      <c r="A26">
        <v>126</v>
      </c>
      <c r="B26" t="s">
        <v>59</v>
      </c>
      <c r="C26" t="s">
        <v>21</v>
      </c>
      <c r="D26">
        <v>2018</v>
      </c>
      <c r="E26">
        <v>8.4</v>
      </c>
      <c r="F26" t="s">
        <v>22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  <c r="L26" s="13">
        <f t="shared" si="0"/>
        <v>400</v>
      </c>
      <c r="M26" s="13">
        <f t="shared" si="1"/>
        <v>2048</v>
      </c>
      <c r="N26" s="13">
        <f t="shared" si="2"/>
        <v>32000</v>
      </c>
      <c r="O26" s="13">
        <f t="shared" si="3"/>
        <v>163840</v>
      </c>
      <c r="P26" s="13">
        <f t="shared" si="4"/>
        <v>400</v>
      </c>
      <c r="Q26" s="13">
        <f t="shared" si="5"/>
        <v>2048</v>
      </c>
    </row>
    <row r="27" spans="1:17">
      <c r="A27">
        <v>127</v>
      </c>
      <c r="B27" t="s">
        <v>60</v>
      </c>
      <c r="C27" t="s">
        <v>18</v>
      </c>
      <c r="D27">
        <v>1955</v>
      </c>
      <c r="E27">
        <v>8.3</v>
      </c>
      <c r="F27" t="s">
        <v>61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 s="13">
        <f t="shared" si="0"/>
        <v>70</v>
      </c>
      <c r="M27" s="13">
        <f t="shared" si="1"/>
        <v>100</v>
      </c>
      <c r="N27" s="13">
        <f t="shared" si="2"/>
        <v>70</v>
      </c>
      <c r="O27" s="13">
        <f t="shared" si="3"/>
        <v>100</v>
      </c>
      <c r="P27" s="13">
        <f t="shared" si="4"/>
        <v>0.875</v>
      </c>
      <c r="Q27" s="13">
        <f t="shared" si="5"/>
        <v>1.25</v>
      </c>
    </row>
    <row r="28" spans="1:17">
      <c r="A28">
        <v>128</v>
      </c>
      <c r="B28" t="s">
        <v>62</v>
      </c>
      <c r="C28" t="s">
        <v>18</v>
      </c>
      <c r="D28">
        <v>2007</v>
      </c>
      <c r="E28">
        <v>8.3</v>
      </c>
      <c r="F28" t="s">
        <v>29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  <c r="L28" s="13">
        <f t="shared" si="0"/>
        <v>120</v>
      </c>
      <c r="M28" s="13">
        <f t="shared" si="1"/>
        <v>1350</v>
      </c>
      <c r="N28" s="13">
        <f t="shared" si="2"/>
        <v>120</v>
      </c>
      <c r="O28" s="13">
        <f t="shared" si="3"/>
        <v>1350</v>
      </c>
      <c r="P28" s="13">
        <f t="shared" si="4"/>
        <v>1.5</v>
      </c>
      <c r="Q28" s="13">
        <f t="shared" si="5"/>
        <v>16.875</v>
      </c>
    </row>
    <row r="29" spans="1:17">
      <c r="A29">
        <v>129</v>
      </c>
      <c r="B29" t="s">
        <v>63</v>
      </c>
      <c r="C29" t="s">
        <v>18</v>
      </c>
      <c r="D29">
        <v>2003</v>
      </c>
      <c r="E29">
        <v>8.1</v>
      </c>
      <c r="F29" t="s">
        <v>64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  <c r="L29" s="13">
        <f t="shared" si="0"/>
        <v>100</v>
      </c>
      <c r="M29" s="13">
        <f t="shared" si="1"/>
        <v>410</v>
      </c>
      <c r="N29" s="13">
        <f t="shared" si="2"/>
        <v>100</v>
      </c>
      <c r="O29" s="13">
        <f t="shared" si="3"/>
        <v>410</v>
      </c>
      <c r="P29" s="13">
        <f t="shared" si="4"/>
        <v>1.25</v>
      </c>
      <c r="Q29" s="13">
        <f t="shared" si="5"/>
        <v>5.125</v>
      </c>
    </row>
    <row r="30" spans="1:17">
      <c r="A30">
        <v>130</v>
      </c>
      <c r="B30" t="s">
        <v>65</v>
      </c>
      <c r="C30" t="s">
        <v>18</v>
      </c>
      <c r="D30">
        <v>2014</v>
      </c>
      <c r="E30">
        <v>8.1</v>
      </c>
      <c r="F30" t="s">
        <v>33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 s="13">
        <f t="shared" si="0"/>
        <v>850</v>
      </c>
      <c r="M30" s="13">
        <f t="shared" si="1"/>
        <v>8540</v>
      </c>
      <c r="N30" s="13">
        <f t="shared" si="2"/>
        <v>850</v>
      </c>
      <c r="O30" s="13">
        <f t="shared" si="3"/>
        <v>8540</v>
      </c>
      <c r="P30" s="13">
        <f t="shared" si="4"/>
        <v>10.625</v>
      </c>
      <c r="Q30" s="13">
        <f t="shared" si="5"/>
        <v>106.75</v>
      </c>
    </row>
    <row r="31" spans="1:17">
      <c r="A31">
        <v>131</v>
      </c>
      <c r="B31" t="s">
        <v>66</v>
      </c>
      <c r="C31" t="s">
        <v>18</v>
      </c>
      <c r="D31">
        <v>2018</v>
      </c>
      <c r="E31" t="s">
        <v>67</v>
      </c>
      <c r="F31" t="s">
        <v>33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  <c r="L31" s="13">
        <f t="shared" si="0"/>
        <v>1000</v>
      </c>
      <c r="M31" s="13">
        <f t="shared" si="1"/>
        <v>5900</v>
      </c>
      <c r="N31" s="13">
        <f t="shared" si="2"/>
        <v>1000</v>
      </c>
      <c r="O31" s="13">
        <f t="shared" si="3"/>
        <v>5900</v>
      </c>
      <c r="P31" s="13">
        <f t="shared" si="4"/>
        <v>12.5</v>
      </c>
      <c r="Q31" s="13">
        <f t="shared" si="5"/>
        <v>73.75</v>
      </c>
    </row>
    <row r="32" spans="1:17">
      <c r="A32">
        <v>132</v>
      </c>
      <c r="B32" t="s">
        <v>68</v>
      </c>
      <c r="C32" t="s">
        <v>18</v>
      </c>
      <c r="D32">
        <v>2021</v>
      </c>
      <c r="E32">
        <v>7.6</v>
      </c>
      <c r="F32" t="s">
        <v>69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  <c r="L32" s="13">
        <f t="shared" si="0"/>
        <v>2000</v>
      </c>
      <c r="M32" s="13">
        <f t="shared" si="1"/>
        <v>3600</v>
      </c>
      <c r="N32" s="13">
        <f t="shared" si="2"/>
        <v>2000</v>
      </c>
      <c r="O32" s="13">
        <f t="shared" si="3"/>
        <v>3600</v>
      </c>
      <c r="P32" s="13">
        <f t="shared" si="4"/>
        <v>25</v>
      </c>
      <c r="Q32" s="13">
        <f t="shared" si="5"/>
        <v>45</v>
      </c>
    </row>
    <row r="33" spans="1:17">
      <c r="A33">
        <v>133</v>
      </c>
      <c r="B33" t="s">
        <v>70</v>
      </c>
      <c r="C33" t="s">
        <v>18</v>
      </c>
      <c r="D33">
        <v>2022</v>
      </c>
      <c r="E33">
        <v>8</v>
      </c>
      <c r="F33" t="s">
        <v>71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  <c r="L33" s="13">
        <f t="shared" si="0"/>
        <v>5500</v>
      </c>
      <c r="M33" s="13">
        <f t="shared" si="1"/>
        <v>12000</v>
      </c>
      <c r="N33" s="13">
        <f t="shared" si="2"/>
        <v>5500</v>
      </c>
      <c r="O33" s="13">
        <f t="shared" si="3"/>
        <v>12000</v>
      </c>
      <c r="P33" s="13">
        <f t="shared" si="4"/>
        <v>68.75</v>
      </c>
      <c r="Q33" s="13">
        <f t="shared" si="5"/>
        <v>150</v>
      </c>
    </row>
    <row r="34" spans="1:17">
      <c r="A34">
        <v>134</v>
      </c>
      <c r="B34" t="s">
        <v>72</v>
      </c>
      <c r="C34" t="s">
        <v>18</v>
      </c>
      <c r="D34">
        <v>2015</v>
      </c>
      <c r="E34">
        <v>8</v>
      </c>
      <c r="F34" t="s">
        <v>73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  <c r="L34" s="13">
        <f t="shared" si="0"/>
        <v>1800</v>
      </c>
      <c r="M34" s="13">
        <f t="shared" si="1"/>
        <v>6500</v>
      </c>
      <c r="N34" s="13">
        <f t="shared" si="2"/>
        <v>1800</v>
      </c>
      <c r="O34" s="13">
        <f t="shared" si="3"/>
        <v>6500</v>
      </c>
      <c r="P34" s="13">
        <f t="shared" si="4"/>
        <v>22.5</v>
      </c>
      <c r="Q34" s="13">
        <f t="shared" si="5"/>
        <v>81.25</v>
      </c>
    </row>
    <row r="35" spans="1:17">
      <c r="A35">
        <v>135</v>
      </c>
      <c r="B35" t="s">
        <v>74</v>
      </c>
      <c r="C35" t="s">
        <v>18</v>
      </c>
      <c r="D35">
        <v>2022</v>
      </c>
      <c r="E35">
        <v>8.3</v>
      </c>
      <c r="F35" t="s">
        <v>75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  <c r="L35" s="13">
        <f t="shared" si="0"/>
        <v>250</v>
      </c>
      <c r="M35" s="13">
        <f t="shared" si="1"/>
        <v>3409</v>
      </c>
      <c r="N35" s="13">
        <f t="shared" si="2"/>
        <v>250</v>
      </c>
      <c r="O35" s="13">
        <f t="shared" si="3"/>
        <v>3409</v>
      </c>
      <c r="P35" s="13">
        <f t="shared" si="4"/>
        <v>3.125</v>
      </c>
      <c r="Q35" s="13">
        <f t="shared" si="5"/>
        <v>42.6125</v>
      </c>
    </row>
    <row r="36" spans="1:17">
      <c r="A36">
        <v>136</v>
      </c>
      <c r="B36" t="s">
        <v>76</v>
      </c>
      <c r="C36" t="s">
        <v>18</v>
      </c>
      <c r="D36">
        <v>2015</v>
      </c>
      <c r="E36">
        <v>8.1</v>
      </c>
      <c r="F36" t="s">
        <v>77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  <c r="L36" s="13">
        <f t="shared" si="0"/>
        <v>900</v>
      </c>
      <c r="M36" s="13">
        <f t="shared" si="1"/>
        <v>11690</v>
      </c>
      <c r="N36" s="13">
        <f t="shared" si="2"/>
        <v>900</v>
      </c>
      <c r="O36" s="13">
        <f t="shared" si="3"/>
        <v>11690</v>
      </c>
      <c r="P36" s="13">
        <f t="shared" si="4"/>
        <v>11.25</v>
      </c>
      <c r="Q36" s="13">
        <f t="shared" si="5"/>
        <v>146.125</v>
      </c>
    </row>
    <row r="37" spans="1:17">
      <c r="A37">
        <v>137</v>
      </c>
      <c r="B37" t="s">
        <v>78</v>
      </c>
      <c r="C37" t="s">
        <v>21</v>
      </c>
      <c r="D37">
        <v>2011</v>
      </c>
      <c r="E37">
        <v>6.9</v>
      </c>
      <c r="F37" t="s">
        <v>22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 s="13">
        <f t="shared" si="0"/>
        <v>216.7</v>
      </c>
      <c r="M37" s="13">
        <f t="shared" si="1"/>
        <v>370.6</v>
      </c>
      <c r="N37" s="13">
        <f t="shared" si="2"/>
        <v>17336</v>
      </c>
      <c r="O37" s="13">
        <f t="shared" si="3"/>
        <v>29648</v>
      </c>
      <c r="P37" s="13">
        <f t="shared" si="4"/>
        <v>216.7</v>
      </c>
      <c r="Q37" s="13">
        <f t="shared" si="5"/>
        <v>370.6</v>
      </c>
    </row>
    <row r="38" spans="1:17">
      <c r="A38">
        <v>138</v>
      </c>
      <c r="B38" t="s">
        <v>79</v>
      </c>
      <c r="C38" t="s">
        <v>21</v>
      </c>
      <c r="D38">
        <v>2014</v>
      </c>
      <c r="E38">
        <v>7.8</v>
      </c>
      <c r="F38" t="s">
        <v>22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 s="13">
        <f t="shared" si="0"/>
        <v>177</v>
      </c>
      <c r="M38" s="13">
        <f t="shared" si="1"/>
        <v>714.4</v>
      </c>
      <c r="N38" s="13">
        <f t="shared" si="2"/>
        <v>14160</v>
      </c>
      <c r="O38" s="13">
        <f t="shared" si="3"/>
        <v>57152</v>
      </c>
      <c r="P38" s="13">
        <f t="shared" si="4"/>
        <v>177</v>
      </c>
      <c r="Q38" s="13">
        <f t="shared" si="5"/>
        <v>714.4</v>
      </c>
    </row>
    <row r="39" spans="1:17">
      <c r="A39">
        <v>139</v>
      </c>
      <c r="B39" t="s">
        <v>80</v>
      </c>
      <c r="C39" t="s">
        <v>18</v>
      </c>
      <c r="D39">
        <v>2018</v>
      </c>
      <c r="E39">
        <v>1.9</v>
      </c>
      <c r="F39" t="s">
        <v>77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  <c r="L39" s="13">
        <f t="shared" si="0"/>
        <v>1800</v>
      </c>
      <c r="M39" s="13">
        <f t="shared" si="1"/>
        <v>3100</v>
      </c>
      <c r="N39" s="13">
        <f t="shared" si="2"/>
        <v>1800</v>
      </c>
      <c r="O39" s="13">
        <f t="shared" si="3"/>
        <v>3100</v>
      </c>
      <c r="P39" s="13">
        <f t="shared" si="4"/>
        <v>22.5</v>
      </c>
      <c r="Q39" s="13">
        <f t="shared" si="5"/>
        <v>38.75</v>
      </c>
    </row>
    <row r="40" spans="1:17">
      <c r="A40">
        <v>140</v>
      </c>
      <c r="B40" t="s">
        <v>81</v>
      </c>
      <c r="C40" t="s">
        <v>18</v>
      </c>
      <c r="D40">
        <v>2021</v>
      </c>
      <c r="E40">
        <v>8.4</v>
      </c>
      <c r="F40" t="s">
        <v>35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 s="13">
        <f t="shared" si="0"/>
        <v>500</v>
      </c>
      <c r="M40" s="13">
        <f t="shared" si="1"/>
        <v>950</v>
      </c>
      <c r="N40" s="13">
        <f t="shared" si="2"/>
        <v>500</v>
      </c>
      <c r="O40" s="13">
        <f t="shared" si="3"/>
        <v>950</v>
      </c>
      <c r="P40" s="13">
        <f t="shared" si="4"/>
        <v>6.25</v>
      </c>
      <c r="Q40" s="13">
        <f t="shared" si="5"/>
        <v>11.875</v>
      </c>
    </row>
    <row r="42" spans="1:17">
      <c r="N42" s="3" t="s">
        <v>82</v>
      </c>
      <c r="O42" s="3" t="s">
        <v>83</v>
      </c>
      <c r="P42" s="3" t="s">
        <v>84</v>
      </c>
      <c r="Q42" s="3" t="s">
        <v>85</v>
      </c>
    </row>
    <row r="43" spans="1:17">
      <c r="N43" s="14">
        <f>SUM(Movies[budget INR])</f>
        <v>264196.4</v>
      </c>
      <c r="O43" s="14">
        <f>SUM(Movies[revenue INR])</f>
        <v>1567141</v>
      </c>
      <c r="P43" s="15">
        <f>SUM(Movies[budget USD])</f>
        <v>3302.455</v>
      </c>
      <c r="Q43" s="15">
        <f>SUM(Movies[revenue USD])</f>
        <v>19589.2625</v>
      </c>
    </row>
    <row r="45" spans="1:17">
      <c r="I45" s="1" t="s">
        <v>86</v>
      </c>
      <c r="J45" s="16">
        <f>COUNT(Movies[movie_id])</f>
        <v>39</v>
      </c>
    </row>
    <row r="46" spans="1:17">
      <c r="I46" s="1" t="s">
        <v>87</v>
      </c>
      <c r="J46" s="16">
        <f>COUNTIF(Movies[industry],"Bollywood")</f>
        <v>18</v>
      </c>
    </row>
    <row r="47" spans="1:17">
      <c r="I47" s="1" t="s">
        <v>88</v>
      </c>
      <c r="J47" s="16">
        <f>SUMIF(Movies[industry],"Bollywood",Movies[revenue INR])</f>
        <v>80909</v>
      </c>
    </row>
    <row r="48" spans="1:17">
      <c r="I48" s="1" t="s">
        <v>89</v>
      </c>
      <c r="J48" s="16">
        <f>J47/J46</f>
        <v>4494.94444444444</v>
      </c>
    </row>
    <row r="49" spans="9:10">
      <c r="I49" s="1" t="s">
        <v>90</v>
      </c>
      <c r="J49" s="17">
        <f>J47/O43</f>
        <v>0.0516284112278346</v>
      </c>
    </row>
  </sheetData>
  <conditionalFormatting sqref="A1:B1">
    <cfRule type="duplicateValues" dxfId="9" priority="5"/>
    <cfRule type="duplicateValues" dxfId="9" priority="6"/>
  </conditionalFormatting>
  <conditionalFormatting sqref="A2:B40">
    <cfRule type="duplicateValues" dxfId="9" priority="9"/>
    <cfRule type="duplicateValues" dxfId="9" priority="10"/>
  </conditionalFormatting>
  <pageMargins left="0.7" right="0.7" top="0.75" bottom="0.75" header="0.3" footer="0.3"/>
  <pageSetup paperSize="1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zoomScale="160" zoomScaleNormal="160" topLeftCell="A16" workbookViewId="0">
      <selection activeCell="B26" sqref="B26:D26"/>
    </sheetView>
  </sheetViews>
  <sheetFormatPr defaultColWidth="9" defaultRowHeight="14.5" outlineLevelCol="4"/>
  <cols>
    <col min="1" max="1" width="9.42727272727273" customWidth="1"/>
    <col min="5" max="5" width="30.2818181818182" customWidth="1"/>
  </cols>
  <sheetData>
    <row r="1" spans="1:5">
      <c r="A1" s="12" t="s">
        <v>0</v>
      </c>
      <c r="B1" s="12" t="s">
        <v>7</v>
      </c>
      <c r="C1" s="12" t="s">
        <v>8</v>
      </c>
      <c r="D1" s="12" t="s">
        <v>9</v>
      </c>
      <c r="E1" s="12" t="s">
        <v>10</v>
      </c>
    </row>
    <row r="2" spans="1:5">
      <c r="A2">
        <v>101</v>
      </c>
      <c r="B2">
        <v>1</v>
      </c>
      <c r="C2">
        <v>12.5</v>
      </c>
      <c r="D2" t="s">
        <v>91</v>
      </c>
      <c r="E2" t="s">
        <v>92</v>
      </c>
    </row>
    <row r="3" spans="1:5">
      <c r="A3">
        <v>102</v>
      </c>
      <c r="B3">
        <v>200</v>
      </c>
      <c r="C3">
        <v>954.8</v>
      </c>
      <c r="D3" t="s">
        <v>93</v>
      </c>
      <c r="E3" t="s">
        <v>94</v>
      </c>
    </row>
    <row r="4" spans="1:5">
      <c r="A4">
        <v>103</v>
      </c>
      <c r="B4">
        <v>165</v>
      </c>
      <c r="C4">
        <v>644.8</v>
      </c>
      <c r="D4" t="s">
        <v>93</v>
      </c>
      <c r="E4" t="s">
        <v>94</v>
      </c>
    </row>
    <row r="5" spans="1:5">
      <c r="A5">
        <v>104</v>
      </c>
      <c r="B5">
        <v>180</v>
      </c>
      <c r="C5">
        <v>854</v>
      </c>
      <c r="D5" t="s">
        <v>93</v>
      </c>
      <c r="E5" t="s">
        <v>94</v>
      </c>
    </row>
    <row r="6" spans="1:5">
      <c r="A6">
        <v>105</v>
      </c>
      <c r="B6">
        <v>250</v>
      </c>
      <c r="C6">
        <v>670</v>
      </c>
      <c r="D6" t="s">
        <v>93</v>
      </c>
      <c r="E6" t="s">
        <v>94</v>
      </c>
    </row>
    <row r="7" spans="1:5">
      <c r="A7">
        <v>107</v>
      </c>
      <c r="B7">
        <v>400</v>
      </c>
      <c r="C7">
        <v>2000</v>
      </c>
      <c r="D7" t="s">
        <v>93</v>
      </c>
      <c r="E7" t="s">
        <v>92</v>
      </c>
    </row>
    <row r="8" spans="1:5">
      <c r="A8">
        <v>108</v>
      </c>
      <c r="B8">
        <v>550</v>
      </c>
      <c r="C8">
        <v>4000</v>
      </c>
      <c r="D8" t="s">
        <v>93</v>
      </c>
      <c r="E8" t="s">
        <v>92</v>
      </c>
    </row>
    <row r="9" spans="1:5">
      <c r="A9">
        <v>109</v>
      </c>
      <c r="B9">
        <v>390</v>
      </c>
      <c r="C9">
        <v>1360</v>
      </c>
      <c r="D9" t="s">
        <v>93</v>
      </c>
      <c r="E9" t="s">
        <v>92</v>
      </c>
    </row>
    <row r="10" spans="1:5">
      <c r="A10">
        <v>110</v>
      </c>
      <c r="B10">
        <v>1.4</v>
      </c>
      <c r="C10">
        <v>3.5</v>
      </c>
      <c r="D10" t="s">
        <v>91</v>
      </c>
      <c r="E10" t="s">
        <v>92</v>
      </c>
    </row>
    <row r="11" spans="1:5">
      <c r="A11">
        <v>111</v>
      </c>
      <c r="B11">
        <v>25</v>
      </c>
      <c r="C11">
        <v>73.3</v>
      </c>
      <c r="D11" t="s">
        <v>93</v>
      </c>
      <c r="E11" t="s">
        <v>94</v>
      </c>
    </row>
    <row r="12" spans="1:5">
      <c r="A12">
        <v>113</v>
      </c>
      <c r="B12">
        <v>165</v>
      </c>
      <c r="C12">
        <v>701.8</v>
      </c>
      <c r="D12" t="s">
        <v>93</v>
      </c>
      <c r="E12" t="s">
        <v>94</v>
      </c>
    </row>
    <row r="13" spans="1:5">
      <c r="A13">
        <v>114</v>
      </c>
      <c r="B13">
        <v>205</v>
      </c>
      <c r="C13">
        <v>365.3</v>
      </c>
      <c r="D13" t="s">
        <v>93</v>
      </c>
      <c r="E13" t="s">
        <v>94</v>
      </c>
    </row>
    <row r="14" spans="1:5">
      <c r="A14">
        <v>115</v>
      </c>
      <c r="B14">
        <v>55</v>
      </c>
      <c r="C14">
        <v>307.1</v>
      </c>
      <c r="D14" t="s">
        <v>93</v>
      </c>
      <c r="E14" t="s">
        <v>94</v>
      </c>
    </row>
    <row r="15" spans="1:5">
      <c r="A15">
        <v>116</v>
      </c>
      <c r="B15">
        <v>103</v>
      </c>
      <c r="C15">
        <v>460.5</v>
      </c>
      <c r="D15" t="s">
        <v>93</v>
      </c>
      <c r="E15" t="s">
        <v>94</v>
      </c>
    </row>
    <row r="16" spans="1:5">
      <c r="A16">
        <v>117</v>
      </c>
      <c r="B16">
        <v>200</v>
      </c>
      <c r="C16">
        <v>2202</v>
      </c>
      <c r="D16" t="s">
        <v>93</v>
      </c>
      <c r="E16" t="s">
        <v>94</v>
      </c>
    </row>
    <row r="17" spans="1:5">
      <c r="A17">
        <v>118</v>
      </c>
      <c r="B17">
        <v>3.18</v>
      </c>
      <c r="C17">
        <v>3.3</v>
      </c>
      <c r="D17" t="s">
        <v>93</v>
      </c>
      <c r="E17" t="s">
        <v>94</v>
      </c>
    </row>
    <row r="18" spans="1:5">
      <c r="A18">
        <v>119</v>
      </c>
      <c r="B18">
        <v>237</v>
      </c>
      <c r="C18">
        <v>2847</v>
      </c>
      <c r="D18" t="s">
        <v>93</v>
      </c>
      <c r="E18" t="s">
        <v>94</v>
      </c>
    </row>
    <row r="19" spans="1:5">
      <c r="A19">
        <v>120</v>
      </c>
      <c r="B19">
        <v>7.2</v>
      </c>
      <c r="C19">
        <v>291</v>
      </c>
      <c r="D19" t="s">
        <v>93</v>
      </c>
      <c r="E19" t="s">
        <v>94</v>
      </c>
    </row>
    <row r="20" spans="1:5">
      <c r="A20">
        <v>121</v>
      </c>
      <c r="B20">
        <v>185</v>
      </c>
      <c r="C20">
        <v>1006</v>
      </c>
      <c r="D20" t="s">
        <v>93</v>
      </c>
      <c r="E20" t="s">
        <v>94</v>
      </c>
    </row>
    <row r="21" spans="1:5">
      <c r="A21">
        <v>122</v>
      </c>
      <c r="B21">
        <v>22</v>
      </c>
      <c r="C21">
        <v>322.2</v>
      </c>
      <c r="D21" t="s">
        <v>93</v>
      </c>
      <c r="E21" t="s">
        <v>94</v>
      </c>
    </row>
    <row r="22" spans="1:5">
      <c r="A22">
        <v>123</v>
      </c>
      <c r="B22">
        <v>63</v>
      </c>
      <c r="C22">
        <v>1046</v>
      </c>
      <c r="D22" t="s">
        <v>93</v>
      </c>
      <c r="E22" t="s">
        <v>94</v>
      </c>
    </row>
    <row r="23" spans="1:5">
      <c r="A23">
        <v>124</v>
      </c>
      <c r="B23">
        <v>15.5</v>
      </c>
      <c r="C23">
        <v>263.1</v>
      </c>
      <c r="D23" t="s">
        <v>93</v>
      </c>
      <c r="E23" t="s">
        <v>94</v>
      </c>
    </row>
    <row r="24" spans="1:5">
      <c r="A24">
        <v>125</v>
      </c>
      <c r="B24">
        <v>400</v>
      </c>
      <c r="C24">
        <v>2798</v>
      </c>
      <c r="D24" t="s">
        <v>93</v>
      </c>
      <c r="E24" t="s">
        <v>94</v>
      </c>
    </row>
    <row r="25" spans="1:5">
      <c r="A25">
        <v>126</v>
      </c>
      <c r="B25">
        <v>400</v>
      </c>
      <c r="C25">
        <v>2048</v>
      </c>
      <c r="D25" t="s">
        <v>93</v>
      </c>
      <c r="E25" t="s">
        <v>94</v>
      </c>
    </row>
    <row r="26" spans="1:5">
      <c r="A26">
        <v>127</v>
      </c>
      <c r="B26">
        <v>70</v>
      </c>
      <c r="C26">
        <v>100</v>
      </c>
      <c r="D26" t="s">
        <v>93</v>
      </c>
      <c r="E26" t="s">
        <v>92</v>
      </c>
    </row>
    <row r="27" spans="1:5">
      <c r="A27">
        <v>128</v>
      </c>
      <c r="B27">
        <v>120</v>
      </c>
      <c r="C27">
        <v>1350</v>
      </c>
      <c r="D27" t="s">
        <v>93</v>
      </c>
      <c r="E27" t="s">
        <v>92</v>
      </c>
    </row>
    <row r="28" spans="1:5">
      <c r="A28">
        <v>129</v>
      </c>
      <c r="B28">
        <v>100</v>
      </c>
      <c r="C28">
        <v>410</v>
      </c>
      <c r="D28" t="s">
        <v>93</v>
      </c>
      <c r="E28" t="s">
        <v>92</v>
      </c>
    </row>
    <row r="29" spans="1:5">
      <c r="A29">
        <v>130</v>
      </c>
      <c r="B29">
        <v>850</v>
      </c>
      <c r="C29">
        <v>8540</v>
      </c>
      <c r="D29" t="s">
        <v>93</v>
      </c>
      <c r="E29" t="s">
        <v>92</v>
      </c>
    </row>
    <row r="30" spans="1:5">
      <c r="A30">
        <v>131</v>
      </c>
      <c r="B30">
        <v>1</v>
      </c>
      <c r="C30">
        <v>5.9</v>
      </c>
      <c r="D30" t="s">
        <v>91</v>
      </c>
      <c r="E30" t="s">
        <v>92</v>
      </c>
    </row>
    <row r="31" spans="1:5">
      <c r="A31">
        <v>132</v>
      </c>
      <c r="B31">
        <v>2</v>
      </c>
      <c r="C31">
        <v>3.6</v>
      </c>
      <c r="D31" t="s">
        <v>91</v>
      </c>
      <c r="E31" t="s">
        <v>92</v>
      </c>
    </row>
    <row r="32" spans="1:5">
      <c r="A32">
        <v>133</v>
      </c>
      <c r="B32">
        <v>5.5</v>
      </c>
      <c r="C32">
        <v>12</v>
      </c>
      <c r="D32" t="s">
        <v>91</v>
      </c>
      <c r="E32" t="s">
        <v>92</v>
      </c>
    </row>
    <row r="33" spans="1:5">
      <c r="A33">
        <v>134</v>
      </c>
      <c r="B33">
        <v>1.8</v>
      </c>
      <c r="C33">
        <v>6.5</v>
      </c>
      <c r="D33" t="s">
        <v>91</v>
      </c>
      <c r="E33" t="s">
        <v>92</v>
      </c>
    </row>
    <row r="34" spans="1:5">
      <c r="A34">
        <v>135</v>
      </c>
      <c r="B34">
        <v>250</v>
      </c>
      <c r="C34">
        <v>3409</v>
      </c>
      <c r="D34" t="s">
        <v>93</v>
      </c>
      <c r="E34" t="s">
        <v>92</v>
      </c>
    </row>
    <row r="35" spans="1:5">
      <c r="A35">
        <v>136</v>
      </c>
      <c r="B35">
        <v>900</v>
      </c>
      <c r="C35">
        <v>11690</v>
      </c>
      <c r="D35" t="s">
        <v>93</v>
      </c>
      <c r="E35" t="s">
        <v>92</v>
      </c>
    </row>
    <row r="36" spans="1:5">
      <c r="A36">
        <v>137</v>
      </c>
      <c r="B36">
        <v>216.7</v>
      </c>
      <c r="C36">
        <v>370.6</v>
      </c>
      <c r="D36" t="s">
        <v>93</v>
      </c>
      <c r="E36" t="s">
        <v>94</v>
      </c>
    </row>
    <row r="37" spans="1:5">
      <c r="A37">
        <v>138</v>
      </c>
      <c r="B37">
        <v>177</v>
      </c>
      <c r="C37">
        <v>714.4</v>
      </c>
      <c r="D37" t="s">
        <v>93</v>
      </c>
      <c r="E37" t="s">
        <v>94</v>
      </c>
    </row>
    <row r="38" spans="1:5">
      <c r="A38">
        <v>139</v>
      </c>
      <c r="B38">
        <v>1.8</v>
      </c>
      <c r="C38">
        <v>3.1</v>
      </c>
      <c r="D38" t="s">
        <v>91</v>
      </c>
      <c r="E38" t="s">
        <v>92</v>
      </c>
    </row>
    <row r="39" spans="1:5">
      <c r="A39">
        <v>140</v>
      </c>
      <c r="B39">
        <v>500</v>
      </c>
      <c r="C39">
        <v>950</v>
      </c>
      <c r="D39" t="s">
        <v>93</v>
      </c>
      <c r="E39" t="s">
        <v>92</v>
      </c>
    </row>
    <row r="40" spans="1:5">
      <c r="A40">
        <v>406</v>
      </c>
      <c r="B40">
        <v>30</v>
      </c>
      <c r="C40">
        <v>350</v>
      </c>
      <c r="D40" t="s">
        <v>93</v>
      </c>
      <c r="E40" t="s">
        <v>92</v>
      </c>
    </row>
    <row r="41" spans="1:5">
      <c r="A41">
        <v>412</v>
      </c>
      <c r="B41">
        <v>160</v>
      </c>
      <c r="C41">
        <v>836.8</v>
      </c>
      <c r="D41" t="s">
        <v>93</v>
      </c>
      <c r="E41" t="s">
        <v>94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zoomScale="160" zoomScaleNormal="160" workbookViewId="0">
      <selection activeCell="A2" sqref="A2:B3"/>
    </sheetView>
  </sheetViews>
  <sheetFormatPr defaultColWidth="9" defaultRowHeight="14.5" outlineLevelCol="2"/>
  <cols>
    <col min="2" max="2" width="26.4272727272727" customWidth="1"/>
    <col min="3" max="3" width="10.8545454545455" customWidth="1"/>
    <col min="5" max="5" width="22.1363636363636" customWidth="1"/>
  </cols>
  <sheetData>
    <row r="1" spans="1:3">
      <c r="A1" s="11" t="s">
        <v>95</v>
      </c>
      <c r="B1" s="11" t="s">
        <v>96</v>
      </c>
      <c r="C1" s="11" t="s">
        <v>97</v>
      </c>
    </row>
    <row r="2" spans="1:3">
      <c r="A2">
        <v>50</v>
      </c>
      <c r="B2" t="s">
        <v>98</v>
      </c>
      <c r="C2">
        <v>1986</v>
      </c>
    </row>
    <row r="3" spans="1:3">
      <c r="A3">
        <v>51</v>
      </c>
      <c r="B3" t="s">
        <v>99</v>
      </c>
      <c r="C3">
        <v>1959</v>
      </c>
    </row>
    <row r="4" spans="1:3">
      <c r="A4">
        <v>52</v>
      </c>
      <c r="B4" t="s">
        <v>100</v>
      </c>
      <c r="C4">
        <v>1976</v>
      </c>
    </row>
    <row r="5" spans="1:3">
      <c r="A5">
        <v>53</v>
      </c>
      <c r="B5" t="s">
        <v>101</v>
      </c>
      <c r="C5">
        <v>1989</v>
      </c>
    </row>
    <row r="6" spans="1:3">
      <c r="A6">
        <v>54</v>
      </c>
      <c r="B6" t="s">
        <v>102</v>
      </c>
      <c r="C6">
        <v>1983</v>
      </c>
    </row>
    <row r="7" spans="1:3">
      <c r="A7">
        <v>55</v>
      </c>
      <c r="B7" t="s">
        <v>103</v>
      </c>
      <c r="C7">
        <v>1981</v>
      </c>
    </row>
    <row r="8" spans="1:3">
      <c r="A8">
        <v>56</v>
      </c>
      <c r="B8" t="s">
        <v>104</v>
      </c>
      <c r="C8">
        <v>1981</v>
      </c>
    </row>
    <row r="9" spans="1:3">
      <c r="A9">
        <v>57</v>
      </c>
      <c r="B9" t="s">
        <v>105</v>
      </c>
      <c r="C9">
        <v>1942</v>
      </c>
    </row>
    <row r="10" spans="1:3">
      <c r="A10">
        <v>58</v>
      </c>
      <c r="B10" t="s">
        <v>106</v>
      </c>
      <c r="C10">
        <v>1948</v>
      </c>
    </row>
    <row r="11" spans="1:3">
      <c r="A11">
        <v>59</v>
      </c>
      <c r="B11" t="s">
        <v>107</v>
      </c>
      <c r="C11">
        <v>1965</v>
      </c>
    </row>
    <row r="12" spans="1:3">
      <c r="A12">
        <v>60</v>
      </c>
      <c r="B12" t="s">
        <v>108</v>
      </c>
      <c r="C12">
        <v>1974</v>
      </c>
    </row>
    <row r="13" spans="1:3">
      <c r="A13">
        <v>61</v>
      </c>
      <c r="B13" t="s">
        <v>109</v>
      </c>
      <c r="C13">
        <v>1965</v>
      </c>
    </row>
    <row r="14" spans="1:3">
      <c r="A14">
        <v>62</v>
      </c>
      <c r="B14" t="s">
        <v>110</v>
      </c>
      <c r="C14">
        <v>1970</v>
      </c>
    </row>
    <row r="15" spans="1:3">
      <c r="A15">
        <v>63</v>
      </c>
      <c r="B15" t="s">
        <v>111</v>
      </c>
      <c r="C15">
        <v>1979</v>
      </c>
    </row>
    <row r="16" spans="1:3">
      <c r="A16">
        <v>64</v>
      </c>
      <c r="B16" t="s">
        <v>112</v>
      </c>
      <c r="C16">
        <v>1974</v>
      </c>
    </row>
    <row r="17" spans="1:3">
      <c r="A17">
        <v>65</v>
      </c>
      <c r="B17" t="s">
        <v>113</v>
      </c>
      <c r="C17">
        <v>1985</v>
      </c>
    </row>
    <row r="18" spans="1:3">
      <c r="A18">
        <v>66</v>
      </c>
      <c r="B18" t="s">
        <v>114</v>
      </c>
      <c r="C18">
        <v>1986</v>
      </c>
    </row>
    <row r="19" spans="1:3">
      <c r="A19">
        <v>67</v>
      </c>
      <c r="B19" t="s">
        <v>115</v>
      </c>
      <c r="C19">
        <v>1958</v>
      </c>
    </row>
    <row r="20" spans="1:3">
      <c r="A20">
        <v>68</v>
      </c>
      <c r="B20" t="s">
        <v>116</v>
      </c>
      <c r="C20">
        <v>1937</v>
      </c>
    </row>
    <row r="21" spans="1:3">
      <c r="A21">
        <v>69</v>
      </c>
      <c r="B21" t="s">
        <v>117</v>
      </c>
      <c r="C21">
        <v>1974</v>
      </c>
    </row>
    <row r="22" spans="1:3">
      <c r="A22">
        <v>70</v>
      </c>
      <c r="B22" t="s">
        <v>118</v>
      </c>
      <c r="C22">
        <v>1959</v>
      </c>
    </row>
    <row r="23" spans="1:3">
      <c r="A23">
        <v>71</v>
      </c>
      <c r="B23" t="s">
        <v>119</v>
      </c>
      <c r="C23">
        <v>1969</v>
      </c>
    </row>
    <row r="24" spans="1:3">
      <c r="A24">
        <v>72</v>
      </c>
      <c r="B24" t="s">
        <v>120</v>
      </c>
      <c r="C24">
        <v>1982</v>
      </c>
    </row>
    <row r="25" spans="1:3">
      <c r="A25">
        <v>73</v>
      </c>
      <c r="B25" t="s">
        <v>121</v>
      </c>
      <c r="C25">
        <v>1984</v>
      </c>
    </row>
    <row r="26" spans="1:3">
      <c r="A26">
        <v>74</v>
      </c>
      <c r="B26" t="s">
        <v>122</v>
      </c>
      <c r="C26">
        <v>1986</v>
      </c>
    </row>
    <row r="27" spans="1:3">
      <c r="A27">
        <v>75</v>
      </c>
      <c r="B27" t="s">
        <v>123</v>
      </c>
      <c r="C27">
        <v>1968</v>
      </c>
    </row>
    <row r="28" spans="1:3">
      <c r="A28">
        <v>76</v>
      </c>
      <c r="B28" t="s">
        <v>124</v>
      </c>
      <c r="C28">
        <v>1972</v>
      </c>
    </row>
    <row r="29" spans="1:3">
      <c r="A29">
        <v>77</v>
      </c>
      <c r="B29" t="s">
        <v>125</v>
      </c>
      <c r="C29">
        <v>1964</v>
      </c>
    </row>
    <row r="30" spans="1:3">
      <c r="A30">
        <v>78</v>
      </c>
      <c r="B30" t="s">
        <v>126</v>
      </c>
      <c r="C30">
        <v>1974</v>
      </c>
    </row>
    <row r="31" spans="1:3">
      <c r="A31">
        <v>79</v>
      </c>
      <c r="B31" t="s">
        <v>127</v>
      </c>
      <c r="C31">
        <v>1975</v>
      </c>
    </row>
    <row r="32" spans="1:3">
      <c r="A32">
        <v>80</v>
      </c>
      <c r="B32" t="s">
        <v>128</v>
      </c>
      <c r="C32">
        <v>1908</v>
      </c>
    </row>
    <row r="33" spans="1:3">
      <c r="A33">
        <v>81</v>
      </c>
      <c r="B33" t="s">
        <v>129</v>
      </c>
      <c r="C33">
        <v>1921</v>
      </c>
    </row>
    <row r="34" spans="1:3">
      <c r="A34">
        <v>82</v>
      </c>
      <c r="B34" t="s">
        <v>130</v>
      </c>
      <c r="C34">
        <v>1976</v>
      </c>
    </row>
    <row r="35" spans="1:3">
      <c r="A35">
        <v>83</v>
      </c>
      <c r="B35" t="s">
        <v>131</v>
      </c>
      <c r="C35">
        <v>1978</v>
      </c>
    </row>
    <row r="36" spans="1:3">
      <c r="A36">
        <v>84</v>
      </c>
      <c r="B36" t="s">
        <v>132</v>
      </c>
      <c r="C36">
        <v>1924</v>
      </c>
    </row>
    <row r="37" spans="1:3">
      <c r="A37">
        <v>85</v>
      </c>
      <c r="B37" t="s">
        <v>133</v>
      </c>
      <c r="C37">
        <v>1940</v>
      </c>
    </row>
    <row r="38" spans="1:3">
      <c r="A38">
        <v>86</v>
      </c>
      <c r="B38" t="s">
        <v>134</v>
      </c>
      <c r="C38">
        <v>1974</v>
      </c>
    </row>
    <row r="39" spans="1:3">
      <c r="A39">
        <v>87</v>
      </c>
      <c r="B39" t="s">
        <v>135</v>
      </c>
      <c r="C39">
        <v>1979</v>
      </c>
    </row>
    <row r="40" spans="1:3">
      <c r="A40">
        <v>88</v>
      </c>
      <c r="B40" t="s">
        <v>136</v>
      </c>
      <c r="C40">
        <v>1952</v>
      </c>
    </row>
    <row r="41" spans="1:3">
      <c r="A41">
        <v>89</v>
      </c>
      <c r="B41" t="s">
        <v>137</v>
      </c>
      <c r="C41">
        <v>1943</v>
      </c>
    </row>
    <row r="42" spans="1:3">
      <c r="A42">
        <v>90</v>
      </c>
      <c r="B42" t="s">
        <v>138</v>
      </c>
      <c r="C42">
        <v>1947</v>
      </c>
    </row>
    <row r="43" spans="1:3">
      <c r="A43">
        <v>91</v>
      </c>
      <c r="B43" t="s">
        <v>139</v>
      </c>
      <c r="C43">
        <v>1967</v>
      </c>
    </row>
    <row r="44" spans="1:3">
      <c r="A44">
        <v>92</v>
      </c>
      <c r="B44" t="s">
        <v>140</v>
      </c>
      <c r="C44">
        <v>1967</v>
      </c>
    </row>
    <row r="45" spans="1:3">
      <c r="A45">
        <v>93</v>
      </c>
      <c r="B45" t="s">
        <v>141</v>
      </c>
      <c r="C45">
        <v>1975</v>
      </c>
    </row>
    <row r="46" spans="1:3">
      <c r="A46">
        <v>94</v>
      </c>
      <c r="B46" t="s">
        <v>142</v>
      </c>
      <c r="C46">
        <v>1965</v>
      </c>
    </row>
    <row r="47" spans="1:3">
      <c r="A47">
        <v>95</v>
      </c>
      <c r="B47" t="s">
        <v>143</v>
      </c>
      <c r="C47">
        <v>1981</v>
      </c>
    </row>
    <row r="48" spans="1:3">
      <c r="A48">
        <v>150</v>
      </c>
      <c r="B48" t="s">
        <v>144</v>
      </c>
      <c r="C48">
        <v>1905</v>
      </c>
    </row>
    <row r="49" spans="1:3">
      <c r="A49">
        <v>151</v>
      </c>
      <c r="B49" t="s">
        <v>145</v>
      </c>
      <c r="C49">
        <v>1919</v>
      </c>
    </row>
    <row r="50" spans="1:3">
      <c r="A50">
        <v>152</v>
      </c>
      <c r="B50" t="s">
        <v>146</v>
      </c>
      <c r="C50">
        <v>1997</v>
      </c>
    </row>
    <row r="51" spans="1:3">
      <c r="A51">
        <v>153</v>
      </c>
      <c r="B51" t="s">
        <v>147</v>
      </c>
      <c r="C51">
        <v>1929</v>
      </c>
    </row>
    <row r="52" spans="1:3">
      <c r="A52">
        <v>154</v>
      </c>
      <c r="B52" t="s">
        <v>148</v>
      </c>
      <c r="C52">
        <v>1988</v>
      </c>
    </row>
    <row r="53" spans="1:3">
      <c r="A53">
        <v>155</v>
      </c>
      <c r="B53" t="s">
        <v>149</v>
      </c>
      <c r="C53">
        <v>1982</v>
      </c>
    </row>
    <row r="54" spans="1:3">
      <c r="A54">
        <v>156</v>
      </c>
      <c r="B54" t="s">
        <v>150</v>
      </c>
      <c r="C54">
        <v>1982</v>
      </c>
    </row>
    <row r="55" spans="1:3">
      <c r="A55">
        <v>157</v>
      </c>
      <c r="B55" t="s">
        <v>151</v>
      </c>
      <c r="C55">
        <v>1982</v>
      </c>
    </row>
    <row r="56" spans="1:3">
      <c r="A56">
        <v>158</v>
      </c>
      <c r="B56" t="s">
        <v>152</v>
      </c>
      <c r="C56">
        <v>1983</v>
      </c>
    </row>
    <row r="57" spans="1:3">
      <c r="A57">
        <v>159</v>
      </c>
      <c r="B57" t="s">
        <v>153</v>
      </c>
      <c r="C57">
        <v>1985</v>
      </c>
    </row>
    <row r="58" spans="1:3">
      <c r="A58">
        <v>160</v>
      </c>
      <c r="B58" t="s">
        <v>154</v>
      </c>
      <c r="C58">
        <v>1979</v>
      </c>
    </row>
    <row r="59" spans="1:3">
      <c r="A59">
        <v>161</v>
      </c>
      <c r="B59" t="s">
        <v>155</v>
      </c>
      <c r="C59">
        <v>1984</v>
      </c>
    </row>
    <row r="60" spans="1:3">
      <c r="A60">
        <v>162</v>
      </c>
      <c r="B60" t="s">
        <v>156</v>
      </c>
      <c r="C60">
        <v>1950</v>
      </c>
    </row>
    <row r="61" spans="1:3">
      <c r="A61">
        <v>163</v>
      </c>
      <c r="B61" t="s">
        <v>157</v>
      </c>
      <c r="C61">
        <v>1955</v>
      </c>
    </row>
    <row r="62" spans="1:3">
      <c r="A62">
        <v>164</v>
      </c>
      <c r="B62" t="s">
        <v>158</v>
      </c>
      <c r="C62">
        <v>1965</v>
      </c>
    </row>
    <row r="63" spans="1:3">
      <c r="A63">
        <v>165</v>
      </c>
      <c r="B63" t="s">
        <v>159</v>
      </c>
      <c r="C63">
        <v>1967</v>
      </c>
    </row>
    <row r="64" spans="1:3">
      <c r="A64">
        <v>166</v>
      </c>
      <c r="B64" t="s">
        <v>160</v>
      </c>
      <c r="C64">
        <v>1946</v>
      </c>
    </row>
    <row r="65" spans="1:3">
      <c r="A65">
        <v>167</v>
      </c>
      <c r="B65" t="s">
        <v>161</v>
      </c>
      <c r="C65">
        <v>1982</v>
      </c>
    </row>
    <row r="66" spans="1:3">
      <c r="A66">
        <v>168</v>
      </c>
      <c r="B66" t="s">
        <v>162</v>
      </c>
      <c r="C66">
        <v>1956</v>
      </c>
    </row>
    <row r="67" spans="1:3">
      <c r="A67">
        <v>169</v>
      </c>
      <c r="B67" t="s">
        <v>163</v>
      </c>
      <c r="C67">
        <v>1985</v>
      </c>
    </row>
    <row r="68" spans="1:3">
      <c r="A68">
        <v>170</v>
      </c>
      <c r="B68" t="s">
        <v>164</v>
      </c>
      <c r="C68">
        <v>1991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zoomScale="160" zoomScaleNormal="160" workbookViewId="0">
      <selection activeCell="B2" sqref="B2:B3"/>
    </sheetView>
  </sheetViews>
  <sheetFormatPr defaultColWidth="9" defaultRowHeight="14.5" outlineLevelCol="1"/>
  <cols>
    <col min="1" max="1" width="9.85454545454546" customWidth="1"/>
  </cols>
  <sheetData>
    <row r="1" spans="1:2">
      <c r="A1" s="11" t="s">
        <v>0</v>
      </c>
      <c r="B1" s="11" t="s">
        <v>95</v>
      </c>
    </row>
    <row r="2" spans="1:2">
      <c r="A2">
        <v>101</v>
      </c>
      <c r="B2">
        <v>50</v>
      </c>
    </row>
    <row r="3" spans="1:2">
      <c r="A3">
        <v>101</v>
      </c>
      <c r="B3">
        <v>51</v>
      </c>
    </row>
    <row r="4" spans="1:2">
      <c r="A4">
        <v>102</v>
      </c>
      <c r="B4">
        <v>52</v>
      </c>
    </row>
    <row r="5" spans="1:2">
      <c r="A5">
        <v>102</v>
      </c>
      <c r="B5">
        <v>53</v>
      </c>
    </row>
    <row r="6" spans="1:2">
      <c r="A6">
        <v>103</v>
      </c>
      <c r="B6">
        <v>54</v>
      </c>
    </row>
    <row r="7" spans="1:2">
      <c r="A7">
        <v>103</v>
      </c>
      <c r="B7">
        <v>55</v>
      </c>
    </row>
    <row r="8" spans="1:2">
      <c r="A8">
        <v>103</v>
      </c>
      <c r="B8">
        <v>56</v>
      </c>
    </row>
    <row r="9" spans="1:2">
      <c r="A9">
        <v>104</v>
      </c>
      <c r="B9">
        <v>54</v>
      </c>
    </row>
    <row r="10" spans="1:2">
      <c r="A10">
        <v>104</v>
      </c>
      <c r="B10">
        <v>56</v>
      </c>
    </row>
    <row r="11" spans="1:2">
      <c r="A11">
        <v>105</v>
      </c>
      <c r="B11">
        <v>54</v>
      </c>
    </row>
    <row r="12" spans="1:2">
      <c r="A12">
        <v>105</v>
      </c>
      <c r="B12">
        <v>55</v>
      </c>
    </row>
    <row r="13" spans="1:2">
      <c r="A13">
        <v>106</v>
      </c>
      <c r="B13">
        <v>57</v>
      </c>
    </row>
    <row r="14" spans="1:2">
      <c r="A14">
        <v>106</v>
      </c>
      <c r="B14">
        <v>58</v>
      </c>
    </row>
    <row r="15" spans="1:2">
      <c r="A15">
        <v>107</v>
      </c>
      <c r="B15">
        <v>59</v>
      </c>
    </row>
    <row r="16" spans="1:2">
      <c r="A16">
        <v>107</v>
      </c>
      <c r="B16">
        <v>60</v>
      </c>
    </row>
    <row r="17" spans="1:2">
      <c r="A17">
        <v>108</v>
      </c>
      <c r="B17">
        <v>61</v>
      </c>
    </row>
    <row r="18" spans="1:2">
      <c r="A18">
        <v>108</v>
      </c>
      <c r="B18">
        <v>62</v>
      </c>
    </row>
    <row r="19" spans="1:2">
      <c r="A19">
        <v>108</v>
      </c>
      <c r="B19">
        <v>63</v>
      </c>
    </row>
    <row r="20" spans="1:2">
      <c r="A20">
        <v>109</v>
      </c>
      <c r="B20">
        <v>59</v>
      </c>
    </row>
    <row r="21" spans="1:2">
      <c r="A21">
        <v>109</v>
      </c>
      <c r="B21">
        <v>57</v>
      </c>
    </row>
    <row r="22" spans="1:2">
      <c r="A22">
        <v>109</v>
      </c>
      <c r="B22">
        <v>64</v>
      </c>
    </row>
    <row r="23" spans="1:2">
      <c r="A23">
        <v>110</v>
      </c>
      <c r="B23">
        <v>65</v>
      </c>
    </row>
    <row r="24" spans="1:2">
      <c r="A24">
        <v>110</v>
      </c>
      <c r="B24">
        <v>66</v>
      </c>
    </row>
    <row r="25" spans="1:2">
      <c r="A25">
        <v>111</v>
      </c>
      <c r="B25">
        <v>67</v>
      </c>
    </row>
    <row r="26" spans="1:2">
      <c r="A26">
        <v>111</v>
      </c>
      <c r="B26">
        <v>68</v>
      </c>
    </row>
    <row r="27" spans="1:2">
      <c r="A27">
        <v>112</v>
      </c>
      <c r="B27">
        <v>69</v>
      </c>
    </row>
    <row r="28" spans="1:2">
      <c r="A28">
        <v>112</v>
      </c>
      <c r="B28">
        <v>70</v>
      </c>
    </row>
    <row r="29" spans="1:2">
      <c r="A29">
        <v>113</v>
      </c>
      <c r="B29">
        <v>71</v>
      </c>
    </row>
    <row r="30" spans="1:2">
      <c r="A30">
        <v>113</v>
      </c>
      <c r="B30">
        <v>72</v>
      </c>
    </row>
    <row r="31" spans="1:2">
      <c r="A31">
        <v>114</v>
      </c>
      <c r="B31">
        <v>73</v>
      </c>
    </row>
    <row r="32" spans="1:2">
      <c r="A32">
        <v>114</v>
      </c>
      <c r="B32">
        <v>74</v>
      </c>
    </row>
    <row r="33" spans="1:2">
      <c r="A33">
        <v>115</v>
      </c>
      <c r="B33">
        <v>75</v>
      </c>
    </row>
    <row r="34" spans="1:2">
      <c r="A34">
        <v>115</v>
      </c>
      <c r="B34">
        <v>76</v>
      </c>
    </row>
    <row r="35" spans="1:2">
      <c r="A35">
        <v>116</v>
      </c>
      <c r="B35">
        <v>77</v>
      </c>
    </row>
    <row r="36" spans="1:2">
      <c r="A36">
        <v>116</v>
      </c>
      <c r="B36">
        <v>78</v>
      </c>
    </row>
    <row r="37" spans="1:2">
      <c r="A37">
        <v>117</v>
      </c>
      <c r="B37">
        <v>69</v>
      </c>
    </row>
    <row r="38" spans="1:2">
      <c r="A38">
        <v>117</v>
      </c>
      <c r="B38">
        <v>79</v>
      </c>
    </row>
    <row r="39" spans="1:2">
      <c r="A39">
        <v>118</v>
      </c>
      <c r="B39">
        <v>80</v>
      </c>
    </row>
    <row r="40" spans="1:2">
      <c r="A40">
        <v>118</v>
      </c>
      <c r="B40">
        <v>81</v>
      </c>
    </row>
    <row r="41" spans="1:2">
      <c r="A41">
        <v>119</v>
      </c>
      <c r="B41">
        <v>82</v>
      </c>
    </row>
    <row r="42" spans="1:2">
      <c r="A42">
        <v>119</v>
      </c>
      <c r="B42">
        <v>83</v>
      </c>
    </row>
    <row r="43" spans="1:2">
      <c r="A43">
        <v>120</v>
      </c>
      <c r="B43">
        <v>84</v>
      </c>
    </row>
    <row r="44" spans="1:2">
      <c r="A44">
        <v>120</v>
      </c>
      <c r="B44">
        <v>85</v>
      </c>
    </row>
    <row r="45" spans="1:2">
      <c r="A45">
        <v>121</v>
      </c>
      <c r="B45">
        <v>86</v>
      </c>
    </row>
    <row r="46" spans="1:2">
      <c r="A46">
        <v>121</v>
      </c>
      <c r="B46">
        <v>87</v>
      </c>
    </row>
    <row r="47" spans="1:2">
      <c r="A47">
        <v>122</v>
      </c>
      <c r="B47">
        <v>88</v>
      </c>
    </row>
    <row r="48" spans="1:2">
      <c r="A48">
        <v>122</v>
      </c>
      <c r="B48">
        <v>89</v>
      </c>
    </row>
    <row r="49" spans="1:2">
      <c r="A49">
        <v>123</v>
      </c>
      <c r="B49">
        <v>90</v>
      </c>
    </row>
    <row r="50" spans="1:2">
      <c r="A50">
        <v>123</v>
      </c>
      <c r="B50">
        <v>91</v>
      </c>
    </row>
    <row r="51" spans="1:2">
      <c r="A51">
        <v>124</v>
      </c>
      <c r="B51">
        <v>92</v>
      </c>
    </row>
    <row r="52" spans="1:2">
      <c r="A52">
        <v>124</v>
      </c>
      <c r="B52">
        <v>93</v>
      </c>
    </row>
    <row r="53" spans="1:2">
      <c r="A53">
        <v>125</v>
      </c>
      <c r="B53">
        <v>94</v>
      </c>
    </row>
    <row r="54" spans="1:2">
      <c r="A54">
        <v>125</v>
      </c>
      <c r="B54">
        <v>95</v>
      </c>
    </row>
    <row r="55" spans="1:2">
      <c r="A55">
        <v>125</v>
      </c>
      <c r="B55">
        <v>54</v>
      </c>
    </row>
    <row r="56" spans="1:2">
      <c r="A56">
        <v>126</v>
      </c>
      <c r="B56">
        <v>94</v>
      </c>
    </row>
    <row r="57" spans="1:2">
      <c r="A57">
        <v>126</v>
      </c>
      <c r="B57">
        <v>95</v>
      </c>
    </row>
    <row r="58" spans="1:2">
      <c r="A58">
        <v>126</v>
      </c>
      <c r="B58">
        <v>54</v>
      </c>
    </row>
    <row r="59" spans="1:2">
      <c r="A59">
        <v>127</v>
      </c>
      <c r="B59">
        <v>150</v>
      </c>
    </row>
    <row r="60" spans="1:2">
      <c r="A60">
        <v>127</v>
      </c>
      <c r="B60">
        <v>151</v>
      </c>
    </row>
    <row r="61" spans="1:2">
      <c r="A61">
        <v>128</v>
      </c>
      <c r="B61">
        <v>61</v>
      </c>
    </row>
    <row r="62" spans="1:2">
      <c r="A62">
        <v>128</v>
      </c>
      <c r="B62">
        <v>152</v>
      </c>
    </row>
    <row r="63" spans="1:2">
      <c r="A63">
        <v>129</v>
      </c>
      <c r="B63">
        <v>51</v>
      </c>
    </row>
    <row r="64" spans="1:2">
      <c r="A64">
        <v>129</v>
      </c>
      <c r="B64">
        <v>153</v>
      </c>
    </row>
    <row r="65" spans="1:2">
      <c r="A65">
        <v>130</v>
      </c>
      <c r="B65">
        <v>61</v>
      </c>
    </row>
    <row r="66" spans="1:2">
      <c r="A66">
        <v>130</v>
      </c>
      <c r="B66">
        <v>154</v>
      </c>
    </row>
    <row r="67" spans="1:2">
      <c r="A67">
        <v>131</v>
      </c>
      <c r="B67">
        <v>155</v>
      </c>
    </row>
    <row r="68" spans="1:2">
      <c r="A68">
        <v>131</v>
      </c>
      <c r="B68">
        <v>154</v>
      </c>
    </row>
    <row r="69" spans="1:2">
      <c r="A69">
        <v>132</v>
      </c>
      <c r="B69">
        <v>156</v>
      </c>
    </row>
    <row r="70" spans="1:2">
      <c r="A70">
        <v>132</v>
      </c>
      <c r="B70">
        <v>157</v>
      </c>
    </row>
    <row r="71" spans="1:2">
      <c r="A71">
        <v>133</v>
      </c>
      <c r="B71">
        <v>158</v>
      </c>
    </row>
    <row r="72" spans="1:2">
      <c r="A72">
        <v>133</v>
      </c>
      <c r="B72">
        <v>159</v>
      </c>
    </row>
    <row r="73" spans="1:2">
      <c r="A73">
        <v>134</v>
      </c>
      <c r="B73">
        <v>160</v>
      </c>
    </row>
    <row r="74" spans="1:2">
      <c r="A74">
        <v>134</v>
      </c>
      <c r="B74">
        <v>161</v>
      </c>
    </row>
    <row r="75" spans="1:2">
      <c r="A75">
        <v>135</v>
      </c>
      <c r="B75">
        <v>162</v>
      </c>
    </row>
    <row r="76" spans="1:2">
      <c r="A76">
        <v>135</v>
      </c>
      <c r="B76">
        <v>163</v>
      </c>
    </row>
    <row r="77" spans="1:2">
      <c r="A77">
        <v>136</v>
      </c>
      <c r="B77">
        <v>164</v>
      </c>
    </row>
    <row r="78" spans="1:2">
      <c r="A78">
        <v>136</v>
      </c>
      <c r="B78">
        <v>165</v>
      </c>
    </row>
    <row r="79" spans="1:2">
      <c r="A79">
        <v>137</v>
      </c>
      <c r="B79">
        <v>95</v>
      </c>
    </row>
    <row r="80" spans="1:2">
      <c r="A80">
        <v>137</v>
      </c>
      <c r="B80">
        <v>166</v>
      </c>
    </row>
    <row r="81" spans="1:2">
      <c r="A81">
        <v>138</v>
      </c>
      <c r="B81">
        <v>95</v>
      </c>
    </row>
    <row r="82" spans="1:2">
      <c r="A82">
        <v>138</v>
      </c>
      <c r="B82">
        <v>167</v>
      </c>
    </row>
    <row r="83" spans="1:2">
      <c r="A83">
        <v>139</v>
      </c>
      <c r="B83">
        <v>164</v>
      </c>
    </row>
    <row r="84" spans="1:2">
      <c r="A84">
        <v>139</v>
      </c>
      <c r="B84">
        <v>168</v>
      </c>
    </row>
    <row r="85" spans="1:2">
      <c r="A85">
        <v>140</v>
      </c>
      <c r="B85">
        <v>169</v>
      </c>
    </row>
    <row r="86" spans="1:2">
      <c r="A86">
        <v>140</v>
      </c>
      <c r="B86">
        <v>170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zoomScale="160" zoomScaleNormal="160" workbookViewId="0">
      <selection activeCell="B4" sqref="B4"/>
    </sheetView>
  </sheetViews>
  <sheetFormatPr defaultColWidth="9" defaultRowHeight="14.5" outlineLevelCol="1"/>
  <cols>
    <col min="1" max="1" width="12.4272727272727" customWidth="1"/>
  </cols>
  <sheetData>
    <row r="1" spans="1:2">
      <c r="A1" s="11" t="s">
        <v>6</v>
      </c>
      <c r="B1" s="11" t="s">
        <v>96</v>
      </c>
    </row>
    <row r="2" spans="1:2">
      <c r="A2">
        <v>1</v>
      </c>
      <c r="B2" t="s">
        <v>165</v>
      </c>
    </row>
    <row r="3" spans="1:2">
      <c r="A3">
        <v>2</v>
      </c>
      <c r="B3" t="s">
        <v>166</v>
      </c>
    </row>
    <row r="4" spans="1:2">
      <c r="A4">
        <v>3</v>
      </c>
      <c r="B4" t="s">
        <v>167</v>
      </c>
    </row>
    <row r="5" spans="1:2">
      <c r="A5">
        <v>4</v>
      </c>
      <c r="B5" t="s">
        <v>168</v>
      </c>
    </row>
    <row r="6" spans="1:2">
      <c r="A6">
        <v>5</v>
      </c>
      <c r="B6" t="s">
        <v>169</v>
      </c>
    </row>
    <row r="7" spans="1:2">
      <c r="A7">
        <v>6</v>
      </c>
      <c r="B7" t="s">
        <v>170</v>
      </c>
    </row>
    <row r="8" spans="1:2">
      <c r="A8">
        <v>7</v>
      </c>
      <c r="B8" t="s">
        <v>171</v>
      </c>
    </row>
    <row r="9" spans="1:2">
      <c r="A9">
        <v>8</v>
      </c>
      <c r="B9" t="s">
        <v>172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67" zoomScaleNormal="67" workbookViewId="0">
      <selection activeCell="H3" sqref="H3"/>
    </sheetView>
  </sheetViews>
  <sheetFormatPr defaultColWidth="8.72727272727273" defaultRowHeight="14.5" outlineLevelRow="6" outlineLevelCol="4"/>
  <cols>
    <col min="1" max="1" width="31.1818181818182" customWidth="1"/>
    <col min="2" max="2" width="36.9090909090909" customWidth="1"/>
    <col min="3" max="3" width="20.7272727272727" customWidth="1"/>
    <col min="4" max="4" width="27.9090909090909" customWidth="1"/>
    <col min="5" max="5" width="31.8181818181818" customWidth="1"/>
  </cols>
  <sheetData>
    <row r="1" spans="1:5">
      <c r="A1" s="4" t="s">
        <v>173</v>
      </c>
      <c r="B1" s="4" t="s">
        <v>174</v>
      </c>
      <c r="C1" s="4" t="s">
        <v>175</v>
      </c>
      <c r="D1" s="4" t="s">
        <v>176</v>
      </c>
      <c r="E1" s="4" t="s">
        <v>177</v>
      </c>
    </row>
    <row r="2" spans="1:5">
      <c r="A2" s="5" t="s">
        <v>178</v>
      </c>
      <c r="B2" s="6">
        <f>SUMIF(Movies[studio],"Marvel Studios",Movies[revenue USD])</f>
        <v>9054.6</v>
      </c>
      <c r="C2" s="6">
        <v>8000</v>
      </c>
      <c r="D2" s="1">
        <f>B2-C2</f>
        <v>1054.6</v>
      </c>
      <c r="E2" s="7">
        <f>D2/B2</f>
        <v>0.116471185916551</v>
      </c>
    </row>
    <row r="3" spans="1:5">
      <c r="A3" s="5" t="s">
        <v>179</v>
      </c>
      <c r="B3" s="6">
        <f>SUMIF(Movies[studio],"Marvel Studios",Movies[budget USD])</f>
        <v>1988.7</v>
      </c>
      <c r="C3" s="6">
        <v>2000</v>
      </c>
      <c r="D3" s="1">
        <f>C3-B3</f>
        <v>11.3</v>
      </c>
      <c r="E3" s="7">
        <f>D3/B3</f>
        <v>0.00568210388696131</v>
      </c>
    </row>
    <row r="4" spans="1:5">
      <c r="A4" s="5" t="s">
        <v>180</v>
      </c>
      <c r="B4" s="6">
        <f>B2-B3</f>
        <v>7065.9</v>
      </c>
      <c r="C4" s="6">
        <f>C2-C3</f>
        <v>6000</v>
      </c>
      <c r="D4" s="1">
        <f>B4-C4</f>
        <v>1065.9</v>
      </c>
      <c r="E4" s="7">
        <f>D4/B4</f>
        <v>0.150851271600221</v>
      </c>
    </row>
    <row r="5" spans="1:5">
      <c r="A5" s="5" t="s">
        <v>181</v>
      </c>
      <c r="B5" s="8">
        <f>B4/B3</f>
        <v>3.55302458892744</v>
      </c>
      <c r="C5" s="9">
        <v>2.75</v>
      </c>
      <c r="D5" s="7">
        <f>C5-B5</f>
        <v>-0.80302458892744</v>
      </c>
      <c r="E5" s="7">
        <f>D5/B5</f>
        <v>-0.226011548422706</v>
      </c>
    </row>
    <row r="6" spans="1:5">
      <c r="A6" s="5" t="s">
        <v>182</v>
      </c>
      <c r="B6" s="8">
        <f>B2/18577.9</f>
        <v>0.487385549496983</v>
      </c>
      <c r="C6" s="10">
        <v>0.55</v>
      </c>
      <c r="D6" s="7">
        <f>C6-B6</f>
        <v>0.0626144505030171</v>
      </c>
      <c r="E6" s="7">
        <f>D6/B6</f>
        <v>0.128470059417313</v>
      </c>
    </row>
    <row r="7" spans="1:5">
      <c r="A7" s="5"/>
      <c r="B7" s="1" t="s">
        <v>183</v>
      </c>
      <c r="C7" s="1"/>
      <c r="D7" s="1"/>
      <c r="E7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235" zoomScaleNormal="235" workbookViewId="0">
      <selection activeCell="C6" sqref="C6"/>
    </sheetView>
  </sheetViews>
  <sheetFormatPr defaultColWidth="8.72727272727273" defaultRowHeight="14.5" outlineLevelRow="4" outlineLevelCol="2"/>
  <cols>
    <col min="1" max="1" width="21.8454545454545" customWidth="1"/>
    <col min="2" max="2" width="12.8181818181818"/>
    <col min="3" max="3" width="28.5" customWidth="1"/>
  </cols>
  <sheetData>
    <row r="1" spans="1:3">
      <c r="A1" s="1" t="s">
        <v>184</v>
      </c>
      <c r="B1" s="2">
        <f>AVERAGE(Movies[imdb_rating])</f>
        <v>7.94736842105263</v>
      </c>
      <c r="C1" s="3" t="s">
        <v>185</v>
      </c>
    </row>
    <row r="2" spans="1:3">
      <c r="A2" s="1" t="s">
        <v>186</v>
      </c>
      <c r="B2" s="4">
        <f>MEDIAN(Movies[imdb_rating])</f>
        <v>8.1</v>
      </c>
      <c r="C2" s="3" t="s">
        <v>187</v>
      </c>
    </row>
    <row r="3" spans="1:3">
      <c r="A3" s="1" t="s">
        <v>188</v>
      </c>
      <c r="B3" s="4" cm="1">
        <f t="array" ref="B3">MODE(Movies[imdb_rating])</f>
        <v>8.4</v>
      </c>
      <c r="C3" s="3" t="s">
        <v>189</v>
      </c>
    </row>
    <row r="4" spans="1:3">
      <c r="A4" s="1" t="s">
        <v>190</v>
      </c>
      <c r="B4" s="2">
        <f>_xlfn.VAR.P(Movies[imdb_rating])</f>
        <v>1.35775623268698</v>
      </c>
      <c r="C4" s="3" t="s">
        <v>191</v>
      </c>
    </row>
    <row r="5" spans="1:3">
      <c r="A5" s="1" t="s">
        <v>192</v>
      </c>
      <c r="B5" s="2">
        <f>_xlfn.STDEV.P(Movies[imdb_rating])</f>
        <v>1.16522797455561</v>
      </c>
      <c r="C5" s="3" t="s">
        <v>193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2BA008F-2FD2-4901-8027-A024DA31C6C8}">
  <ds:schemaRefs/>
</ds:datastoreItem>
</file>

<file path=customXml/itemProps2.xml><?xml version="1.0" encoding="utf-8"?>
<ds:datastoreItem xmlns:ds="http://schemas.openxmlformats.org/officeDocument/2006/customXml" ds:itemID="{EEFF9027-FBEF-4910-8EE6-13D64012C7E9}">
  <ds:schemaRefs/>
</ds:datastoreItem>
</file>

<file path=customXml/itemProps3.xml><?xml version="1.0" encoding="utf-8"?>
<ds:datastoreItem xmlns:ds="http://schemas.openxmlformats.org/officeDocument/2006/customXml" ds:itemID="{E6C97D6F-A515-40FC-959A-7BC863F10C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movies</vt:lpstr>
      <vt:lpstr>financials</vt:lpstr>
      <vt:lpstr>actors</vt:lpstr>
      <vt:lpstr>movie_actor</vt:lpstr>
      <vt:lpstr>languages</vt:lpstr>
      <vt:lpstr>Profit And Loss Statement</vt:lpstr>
      <vt:lpstr>Mean,median,Mode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Musab Butt</cp:lastModifiedBy>
  <dcterms:created xsi:type="dcterms:W3CDTF">2015-06-05T18:17:00Z</dcterms:created>
  <dcterms:modified xsi:type="dcterms:W3CDTF">2026-08-31T14:08:04Z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ICV">
    <vt:lpwstr>9CBBD72EC8144D75A1663E91807B5939_12</vt:lpwstr>
  </property>
  <property fmtid="{D5CDD505-2E9C-101B-9397-08002B2CF9AE}" pid="11" name="KSOProductBuildVer">
    <vt:lpwstr>1033-12.1.0.28485</vt:lpwstr>
  </property>
  <property fmtid="{D5CDD505-2E9C-101B-9397-08002B2CF9AE}" pid="12" name="CalculationRule">
    <vt:i4>0</vt:i4>
  </property>
</Properties>
</file>